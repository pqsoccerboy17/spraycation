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9.xml" ContentType="application/vnd.openxmlformats-officedocument.spreadsheetml.table+xml"/>
  <Override PartName="/xl/tables/table18.xml" ContentType="application/vnd.openxmlformats-officedocument.spreadsheetml.table+xml"/>
  <Override PartName="/xl/tables/table17.xml" ContentType="application/vnd.openxmlformats-officedocument.spreadsheetml.table+xml"/>
  <Override PartName="/xl/tables/table16.xml" ContentType="application/vnd.openxmlformats-officedocument.spreadsheetml.table+xml"/>
  <Override PartName="/xl/tables/table15.xml" ContentType="application/vnd.openxmlformats-officedocument.spreadsheetml.table+xml"/>
  <Override PartName="/xl/tables/table14.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tables/table7.xml" ContentType="application/vnd.openxmlformats-officedocument.spreadsheetml.table+xml"/>
  <Override PartName="/xl/tables/table6.xml" ContentType="application/vnd.openxmlformats-officedocument.spreadsheetml.table+xml"/>
  <Override PartName="/xl/tables/table1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2026 Brand Targets" sheetId="2" state="visible" r:id="rId4"/>
    <sheet name="2025 Outreach" sheetId="3" state="visible" r:id="rId5"/>
    <sheet name="Austin Only" sheetId="4" state="visible" r:id="rId6"/>
    <sheet name="Videographers" sheetId="5" state="visible" r:id="rId7"/>
    <sheet name="2025 Thank yous" sheetId="6" state="visible" r:id="rId8"/>
    <sheet name="2026 High Potentials" sheetId="7" state="visible" r:id="rId9"/>
  </sheets>
  <definedNames>
    <definedName function="false" hidden="true" localSheetId="2" name="_xlnm._FilterDatabase" vbProcedure="false">'2025 Outreach'!$A$1:$K$338</definedName>
    <definedName function="false" hidden="true" localSheetId="1" name="_xlnm._FilterDatabase" vbProcedure="false">'2026 Brand Targets'!$A$1:$J$28</definedName>
    <definedName function="false" hidden="true" localSheetId="6" name="_xlnm._FilterDatabase" vbProcedure="false">'2026 High Potentials'!$A$1:$H$26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<sst xmlns="http://schemas.openxmlformats.org/spreadsheetml/2006/main" count="2734" uniqueCount="1691">
  <si>
    <t xml:space="preserve">SPRAYCATION OUTREACH DASHBOARD</t>
  </si>
  <si>
    <t xml:space="preserve">2025 Recap  |  2026 Pipeline  |  Brand Targets</t>
  </si>
  <si>
    <t xml:space="preserve">2025 OUTREACH SUMMARY</t>
  </si>
  <si>
    <t xml:space="preserve">Total Outreach Contacts</t>
  </si>
  <si>
    <t xml:space="preserve">No Response</t>
  </si>
  <si>
    <t xml:space="preserve">Declined</t>
  </si>
  <si>
    <t xml:space="preserve">In Conversation</t>
  </si>
  <si>
    <t xml:space="preserve">Confirmed Sponsors</t>
  </si>
  <si>
    <t xml:space="preserve">2026 High Potentials</t>
  </si>
  <si>
    <t xml:space="preserve">Closed Conversations</t>
  </si>
  <si>
    <t xml:space="preserve">Not Yet Contacted</t>
  </si>
  <si>
    <t xml:space="preserve">OUTREACH BY CITY (2025)</t>
  </si>
  <si>
    <t xml:space="preserve">City</t>
  </si>
  <si>
    <t xml:space="preserve">Count</t>
  </si>
  <si>
    <t xml:space="preserve">Portland</t>
  </si>
  <si>
    <t xml:space="preserve">Seattle</t>
  </si>
  <si>
    <t xml:space="preserve">National</t>
  </si>
  <si>
    <t xml:space="preserve">Denver</t>
  </si>
  <si>
    <t xml:space="preserve">Vancouver</t>
  </si>
  <si>
    <t xml:space="preserve">Bozeman</t>
  </si>
  <si>
    <t xml:space="preserve">Boise</t>
  </si>
  <si>
    <t xml:space="preserve">Taos</t>
  </si>
  <si>
    <t xml:space="preserve">Jackson Hole</t>
  </si>
  <si>
    <t xml:space="preserve">2026 BRAND TARGETS PIPELINE</t>
  </si>
  <si>
    <t xml:space="preserve">Total Brand Targets</t>
  </si>
  <si>
    <t xml:space="preserve">Magic Maker ($25K)</t>
  </si>
  <si>
    <t xml:space="preserve">Culture Partner ($15K)</t>
  </si>
  <si>
    <t xml:space="preserve">Community Ally ($5K)</t>
  </si>
  <si>
    <t xml:space="preserve">HIGH Priority</t>
  </si>
  <si>
    <t xml:space="preserve">MEDIUM Priority</t>
  </si>
  <si>
    <t xml:space="preserve">Tier</t>
  </si>
  <si>
    <t xml:space="preserve">Category</t>
  </si>
  <si>
    <t xml:space="preserve">Brand / Company</t>
  </si>
  <si>
    <t xml:space="preserve">Website</t>
  </si>
  <si>
    <t xml:space="preserve">Why This Brand?</t>
  </si>
  <si>
    <t xml:space="preserve">Contact Strategy</t>
  </si>
  <si>
    <t xml:space="preserve">Estimated IG Followers</t>
  </si>
  <si>
    <t xml:space="preserve">Priority</t>
  </si>
  <si>
    <t xml:space="preserve">Status</t>
  </si>
  <si>
    <t xml:space="preserve">Notes</t>
  </si>
  <si>
    <t xml:space="preserve">Art &amp; Creative Brands</t>
  </si>
  <si>
    <t xml:space="preserve">Montana Cans (MTN Colors)</t>
  </si>
  <si>
    <t xml:space="preserve">montanacolors.com</t>
  </si>
  <si>
    <t xml:space="preserve">Leading spray paint brand globally — direct product alignment with mural creation. Potential for in-kind + cash sponsorship.</t>
  </si>
  <si>
    <t xml:space="preserve">Direct outreach to US distributor / marketing team</t>
  </si>
  <si>
    <t xml:space="preserve">150K+</t>
  </si>
  <si>
    <t xml:space="preserve">HIGH</t>
  </si>
  <si>
    <t xml:space="preserve">Could supply paint + sponsor. Perfect product fit.</t>
  </si>
  <si>
    <t xml:space="preserve">Liquitex (Colart Group)</t>
  </si>
  <si>
    <t xml:space="preserve">liquitex.com</t>
  </si>
  <si>
    <t xml:space="preserve">Professional-grade acrylic brand used by muralists worldwide. Portfolio includes spray paint line.</t>
  </si>
  <si>
    <t xml:space="preserve">Contact brand partnerships / artist relations</t>
  </si>
  <si>
    <t xml:space="preserve">200K+</t>
  </si>
  <si>
    <t xml:space="preserve">Artist sponsorship program exists. Strong alignment.</t>
  </si>
  <si>
    <t xml:space="preserve">Blick Art Materials</t>
  </si>
  <si>
    <t xml:space="preserve">dickblick.com</t>
  </si>
  <si>
    <t xml:space="preserve">Largest art supply retailer in the US. Deep roots in creative communities.</t>
  </si>
  <si>
    <t xml:space="preserve">Corporate partnerships / community programs team</t>
  </si>
  <si>
    <t xml:space="preserve">250K+</t>
  </si>
  <si>
    <t xml:space="preserve">National footprint. Community-focused brand.</t>
  </si>
  <si>
    <t xml:space="preserve">Outdoor &amp; Adventure</t>
  </si>
  <si>
    <t xml:space="preserve">REI Co-op</t>
  </si>
  <si>
    <t xml:space="preserve">rei.com</t>
  </si>
  <si>
    <t xml:space="preserve">Values-driven outdoor brand with deep community engagement. Co-op model aligns with Spraycation's community ethos.</t>
  </si>
  <si>
    <t xml:space="preserve">REI Cooperative Action Fund / brand partnerships</t>
  </si>
  <si>
    <t xml:space="preserve">2M+</t>
  </si>
  <si>
    <t xml:space="preserve">Strong CSR. 'Opt Outside' campaign alignment.</t>
  </si>
  <si>
    <t xml:space="preserve">Subaru of America</t>
  </si>
  <si>
    <t xml:space="preserve">subaru.com</t>
  </si>
  <si>
    <t xml:space="preserve">Road trip brand. National parks partnerships. Strong values alignment with adventure + community.</t>
  </si>
  <si>
    <t xml:space="preserve">Corporate sponsorship / brand experience team</t>
  </si>
  <si>
    <t xml:space="preserve">1M+</t>
  </si>
  <si>
    <t xml:space="preserve">Love Promise initiative. Vehicle sponsorship potential.</t>
  </si>
  <si>
    <t xml:space="preserve">Patagonia</t>
  </si>
  <si>
    <t xml:space="preserve">patagonia.com</t>
  </si>
  <si>
    <t xml:space="preserve">Mission-driven brand supporting grassroots environmental and social causes. Art as activism aligns.</t>
  </si>
  <si>
    <t xml:space="preserve">Environmental grants / brand partnerships</t>
  </si>
  <si>
    <t xml:space="preserve">5M+</t>
  </si>
  <si>
    <t xml:space="preserve">MEDIUM</t>
  </si>
  <si>
    <t xml:space="preserve">Highly selective. Worth pursuing for alignment.</t>
  </si>
  <si>
    <t xml:space="preserve">Women-Led &amp; Empowerment</t>
  </si>
  <si>
    <t xml:space="preserve">Bumble</t>
  </si>
  <si>
    <t xml:space="preserve">bumble.com</t>
  </si>
  <si>
    <t xml:space="preserve">Women-first platform. All-female creative team resonates. Community activation synergy.</t>
  </si>
  <si>
    <t xml:space="preserve">Brand marketing / community partnerships</t>
  </si>
  <si>
    <t xml:space="preserve">3M+</t>
  </si>
  <si>
    <t xml:space="preserve">Fund for women-led initiatives. Great fit.</t>
  </si>
  <si>
    <t xml:space="preserve">Aerie (American Eagle)</t>
  </si>
  <si>
    <t xml:space="preserve">ae.com/aerie</t>
  </si>
  <si>
    <t xml:space="preserve">Body positivity, empowerment messaging, community-driven. #AerieREAL campaign overlap.</t>
  </si>
  <si>
    <t xml:space="preserve">Brand partnerships / community marketing</t>
  </si>
  <si>
    <t xml:space="preserve">1.5M+</t>
  </si>
  <si>
    <t xml:space="preserve">Real campaign aligns with 'You Are Magic' message.</t>
  </si>
  <si>
    <t xml:space="preserve">Lifestyle &amp; Wellness</t>
  </si>
  <si>
    <t xml:space="preserve">Hydro Flask</t>
  </si>
  <si>
    <t xml:space="preserve">hydroflask.com</t>
  </si>
  <si>
    <t xml:space="preserve">Outdoor lifestyle brand based in Bend, OR. Pacific NW roots match tour geography.</t>
  </si>
  <si>
    <t xml:space="preserve">Brand partnerships / outdoor marketing</t>
  </si>
  <si>
    <t xml:space="preserve">500K+</t>
  </si>
  <si>
    <t xml:space="preserve">Parks for All philanthropy. In-kind + cash potential.</t>
  </si>
  <si>
    <t xml:space="preserve">Olipop</t>
  </si>
  <si>
    <t xml:space="preserve">drinkolipop.com</t>
  </si>
  <si>
    <t xml:space="preserve">Trendy prebiotic soda. Young, creative audience. Perfect for mural reveal events.</t>
  </si>
  <si>
    <t xml:space="preserve">Brand partnerships / event sponsorship</t>
  </si>
  <si>
    <t xml:space="preserve">Event activation natural fit. In-kind + cash.</t>
  </si>
  <si>
    <t xml:space="preserve">Athletic Brewing Co.</t>
  </si>
  <si>
    <t xml:space="preserve">athleticbrewing.com</t>
  </si>
  <si>
    <t xml:space="preserve">Non-alcoholic craft beer. Community-focused, fits event activations perfectly.</t>
  </si>
  <si>
    <t xml:space="preserve">Marketing / event partnerships</t>
  </si>
  <si>
    <t xml:space="preserve">NA beer = inclusive events. Growing brand.</t>
  </si>
  <si>
    <t xml:space="preserve">Poppi</t>
  </si>
  <si>
    <t xml:space="preserve">drinkpoppi.com</t>
  </si>
  <si>
    <t xml:space="preserve">Prebiotic soda brand with vibrant visual identity. Colorful brand matches Spraycation aesthetic.</t>
  </si>
  <si>
    <t xml:space="preserve">Marketing / influencer partnerships</t>
  </si>
  <si>
    <t xml:space="preserve">400K+</t>
  </si>
  <si>
    <t xml:space="preserve">Colorful brand. Event sampling synergy.</t>
  </si>
  <si>
    <t xml:space="preserve">Cultural &amp; Community Orgs</t>
  </si>
  <si>
    <t xml:space="preserve">WeWork / The Wing (reimagined)</t>
  </si>
  <si>
    <t xml:space="preserve">wework.com</t>
  </si>
  <si>
    <t xml:space="preserve">Creative workspace brand. Community hubs in multiple tour cities.</t>
  </si>
  <si>
    <t xml:space="preserve">Community partnerships / local programming</t>
  </si>
  <si>
    <t xml:space="preserve">300K+</t>
  </si>
  <si>
    <t xml:space="preserve">Co-working events. Mural in-space potential.</t>
  </si>
  <si>
    <t xml:space="preserve">Meow Wolf</t>
  </si>
  <si>
    <t xml:space="preserve">meowwolf.com</t>
  </si>
  <si>
    <t xml:space="preserve">Immersive art experiences in Denver, Santa Fe, Houston, Las Vegas. Direct creative overlap.</t>
  </si>
  <si>
    <t xml:space="preserve">Artist partnerships / cross-promotion</t>
  </si>
  <si>
    <t xml:space="preserve">Denver location = direct overlap. Art-first brand.</t>
  </si>
  <si>
    <t xml:space="preserve">Fashion &amp; Streetwear</t>
  </si>
  <si>
    <t xml:space="preserve">Vans</t>
  </si>
  <si>
    <t xml:space="preserve">vans.com</t>
  </si>
  <si>
    <t xml:space="preserve">Deep roots in art, music, and street culture. Long history of mural sponsorships.</t>
  </si>
  <si>
    <t xml:space="preserve">Vans Custom Culture / marketing team</t>
  </si>
  <si>
    <t xml:space="preserve">10M+</t>
  </si>
  <si>
    <t xml:space="preserve">Custom Culture program directly funds murals.</t>
  </si>
  <si>
    <t xml:space="preserve">Dr. Martens</t>
  </si>
  <si>
    <t xml:space="preserve">drmartens.com</t>
  </si>
  <si>
    <t xml:space="preserve">Art and rebellion. Subcultural roots. Strong visual identity aligns with street art.</t>
  </si>
  <si>
    <t xml:space="preserve">Brand partnerships / cultural marketing</t>
  </si>
  <si>
    <t xml:space="preserve">Punk/art heritage. Authentic alignment.</t>
  </si>
  <si>
    <t xml:space="preserve">Local &amp; Regional</t>
  </si>
  <si>
    <t xml:space="preserve">New Belgium Brewing</t>
  </si>
  <si>
    <t xml:space="preserve">newbelgium.com</t>
  </si>
  <si>
    <t xml:space="preserve">Fort Collins, CO-based. B Corp. Art-forward brand (Fat Tire labels). Community-driven.</t>
  </si>
  <si>
    <t xml:space="preserve">Community partnerships / local marketing</t>
  </si>
  <si>
    <t xml:space="preserve">Colorado roots. Art-label heritage.</t>
  </si>
  <si>
    <t xml:space="preserve">Boise Co-op</t>
  </si>
  <si>
    <t xml:space="preserve">boise.coop</t>
  </si>
  <si>
    <t xml:space="preserve">Community-owned grocery in Boise. Supports local art &amp; culture initiatives.</t>
  </si>
  <si>
    <t xml:space="preserve">Marketing / community partnerships</t>
  </si>
  <si>
    <t xml:space="preserve">5K+</t>
  </si>
  <si>
    <t xml:space="preserve">Boise mural city. Hyper-local partner.</t>
  </si>
  <si>
    <t xml:space="preserve">Powell's Books</t>
  </si>
  <si>
    <t xml:space="preserve">powells.com</t>
  </si>
  <si>
    <t xml:space="preserve">Iconic Portland bookstore. Deep community roots. Cultural institution.</t>
  </si>
  <si>
    <t xml:space="preserve">Marketing / events partnerships</t>
  </si>
  <si>
    <t xml:space="preserve">Portland institution. Event co-hosting potential.</t>
  </si>
  <si>
    <t xml:space="preserve">Salt &amp; Straw</t>
  </si>
  <si>
    <t xml:space="preserve">saltandstraw.com</t>
  </si>
  <si>
    <t xml:space="preserve">Portland-born ice cream. Multiple cities on tour route. Community-centered.</t>
  </si>
  <si>
    <t xml:space="preserve">Marketing / local store partnerships</t>
  </si>
  <si>
    <t xml:space="preserve">Portland + Denver + other cities. Event sampling.</t>
  </si>
  <si>
    <t xml:space="preserve">10 Barrel Brewing</t>
  </si>
  <si>
    <t xml:space="preserve">10barrel.com</t>
  </si>
  <si>
    <t xml:space="preserve">Craft brewery with locations in Boise, Portland, Denver, Bend. Art-forward taprooms.</t>
  </si>
  <si>
    <t xml:space="preserve">Marketing / local event sponsorship</t>
  </si>
  <si>
    <t xml:space="preserve">100K+</t>
  </si>
  <si>
    <t xml:space="preserve">Multi-city overlap. Taproom mural potential.</t>
  </si>
  <si>
    <t xml:space="preserve">Paint &amp; Supplies</t>
  </si>
  <si>
    <t xml:space="preserve">Ironlak</t>
  </si>
  <si>
    <t xml:space="preserve">ironlak.com</t>
  </si>
  <si>
    <t xml:space="preserve">Australian spray paint brand popular with street artists and muralists.</t>
  </si>
  <si>
    <t xml:space="preserve">Artist relations / US distribution team</t>
  </si>
  <si>
    <t xml:space="preserve">In-kind paint + small cash. Artist-driven brand.</t>
  </si>
  <si>
    <t xml:space="preserve">Molotow</t>
  </si>
  <si>
    <t xml:space="preserve">molotow.com</t>
  </si>
  <si>
    <t xml:space="preserve">German spray paint and marker brand. Premium quality for fine art murals.</t>
  </si>
  <si>
    <t xml:space="preserve">Artist sponsorship program</t>
  </si>
  <si>
    <t xml:space="preserve">Premium product. In-kind sponsorship potential.</t>
  </si>
  <si>
    <t xml:space="preserve">Media &amp; Tech</t>
  </si>
  <si>
    <t xml:space="preserve">Roku</t>
  </si>
  <si>
    <t xml:space="preserve">roku.com</t>
  </si>
  <si>
    <t xml:space="preserve">Streaming platform. Spraycation wrap film / docuseries distribution potential.</t>
  </si>
  <si>
    <t xml:space="preserve">Content partnerships / original programming</t>
  </si>
  <si>
    <t xml:space="preserve">Distribution partner for wrap film content.</t>
  </si>
  <si>
    <t xml:space="preserve">Adobe</t>
  </si>
  <si>
    <t xml:space="preserve">adobe.com</t>
  </si>
  <si>
    <t xml:space="preserve">Creative software leader. Supports artists and creative communities globally.</t>
  </si>
  <si>
    <t xml:space="preserve">Adobe for All / community grants</t>
  </si>
  <si>
    <t xml:space="preserve">Creative community programs. Grant potential.</t>
  </si>
  <si>
    <t xml:space="preserve">Travel &amp; Hospitality</t>
  </si>
  <si>
    <t xml:space="preserve">Selina Hotels</t>
  </si>
  <si>
    <t xml:space="preserve">selina.com</t>
  </si>
  <si>
    <t xml:space="preserve">Boutique hotel chain with art-focused properties. Murals in lobbies. Tour city overlap.</t>
  </si>
  <si>
    <t xml:space="preserve">Brand partnerships / artist-in-residence programs</t>
  </si>
  <si>
    <t xml:space="preserve">Lodging-in-kind + mural potential. Art-hotel brand.</t>
  </si>
  <si>
    <t xml:space="preserve">Hipcamp</t>
  </si>
  <si>
    <t xml:space="preserve">hipcamp.com</t>
  </si>
  <si>
    <t xml:space="preserve">Outdoor stays platform. Adventure + road trip audience. Nature-meets-culture.</t>
  </si>
  <si>
    <t xml:space="preserve">Brand partnerships / creator program</t>
  </si>
  <si>
    <t xml:space="preserve">LOW</t>
  </si>
  <si>
    <t xml:space="preserve">Road trip narrative. Content partnership angle.</t>
  </si>
  <si>
    <t xml:space="preserve">Company Name &amp; website</t>
  </si>
  <si>
    <t xml:space="preserve">Why?</t>
  </si>
  <si>
    <t xml:space="preserve">Contact info</t>
  </si>
  <si>
    <t xml:space="preserve">Date</t>
  </si>
  <si>
    <t xml:space="preserve">Method of contact</t>
  </si>
  <si>
    <t xml:space="preserve">Notes:</t>
  </si>
  <si>
    <t xml:space="preserve">IG handle</t>
  </si>
  <si>
    <t xml:space="preserve">IG followers</t>
  </si>
  <si>
    <t xml:space="preserve">Gleam Esthetika &amp; Gallery Om Boise (health and wellness with gallery attached)
https://www.gleamesthetika.com/</t>
  </si>
  <si>
    <t xml:space="preserve">in kind, or sponsorship. This place is female owned, operated and is in opening the gallery this year</t>
  </si>
  <si>
    <t xml:space="preserve">Tahirah@gleamesthetika.com</t>
  </si>
  <si>
    <t xml:space="preserve">Direct email</t>
  </si>
  <si>
    <t xml:space="preserve">She is VERY interested in helping us out.  Maybe a gallery talk at Gallery Om.  Her space doesn't have a wall for a mural itself. She is working to conenct us with others in the Boise community incl Totally Boise, (local print magazine.)</t>
  </si>
  <si>
    <t xml:space="preserve">@gleam_esthetika</t>
  </si>
  <si>
    <t xml:space="preserve">250 followers</t>
  </si>
  <si>
    <t xml:space="preserve">2026 High Potential</t>
  </si>
  <si>
    <t xml:space="preserve">Wild Ginger Makers Space
https://www.wildgingermakersspace.com/</t>
  </si>
  <si>
    <t xml:space="preserve">I recently opened a community studio space with another local artist and am ridiculously excited about what we have created! BOLT Handmakers Society is a place where folks can come to learn, teach, make, and gather. We host craft nights, sewing and textile art classes, gallery shows and more!</t>
  </si>
  <si>
    <t xml:space="preserve">WILDGINGERBOISE@GMAIL.COM</t>
  </si>
  <si>
    <t xml:space="preserve">none</t>
  </si>
  <si>
    <t xml:space="preserve">Sagebrush Collective
https://www.sagebrushcollaborative.com/</t>
  </si>
  <si>
    <t xml:space="preserve">Inclusive art market. Confluence Market
Interested in joining us for one of our community orientated monthly night markets?</t>
  </si>
  <si>
    <t xml:space="preserve">Jess Wagner, founder and sole owner of Sagebrush, is a 29-year-old fine artist based in Boise, Idaho. Passionate about artist collectives and vendor shows, she also runs Jess Wagner Art/Equinox Fox Goods, specializing in printmaking on secondhand clothing and repurposing outdoor gear. 
sagebrushcollab@gmail.com</t>
  </si>
  <si>
    <t xml:space="preserve">@sagebrushcollaborative</t>
  </si>
  <si>
    <t xml:space="preserve">10.1k followers</t>
  </si>
  <si>
    <t xml:space="preserve">Boise Art Revel
https://www.boiseartrevel.com/</t>
  </si>
  <si>
    <t xml:space="preserve">Slated to open by end of June 2025, this art gallery/community venue promises a multi-dimensional experience: rotating exhibitions, immersive digital installations, a working artist’s studio (Joelle Ater), craft-cocktail lounge, workshops, an art book library, AI + design competitions, and open-access art supplies for creativity. A “new hub to hang, make, sip, and dream big.”</t>
  </si>
  <si>
    <t xml:space="preserve">Joelle@BoiseArtRevel.com</t>
  </si>
  <si>
    <t xml:space="preserve">Treasure Valley Children's Theater
https://www.treasurevalleychildrenstheater.com/</t>
  </si>
  <si>
    <t xml:space="preserve">theater for kids / art programs.  aligns with our message</t>
  </si>
  <si>
    <t xml:space="preserve">info@treasurevalleychildrenstheater.com</t>
  </si>
  <si>
    <t xml:space="preserve">Looking for after school or youth programs to work with </t>
  </si>
  <si>
    <t xml:space="preserve">@tvchildrenstheater</t>
  </si>
  <si>
    <t xml:space="preserve">&lt;1,500 followers</t>
  </si>
  <si>
    <t xml:space="preserve">No response</t>
  </si>
  <si>
    <t xml:space="preserve">Salt Sanctuary (health and wellness)
https://www.salt-sanctuary.com/</t>
  </si>
  <si>
    <t xml:space="preserve">in kind, day of relaxation</t>
  </si>
  <si>
    <t xml:space="preserve">instagram DM
info@salt-sanctuary.com</t>
  </si>
  <si>
    <t xml:space="preserve">Instagram</t>
  </si>
  <si>
    <t xml:space="preserve">@boisesaltsanctuary</t>
  </si>
  <si>
    <t xml:space="preserve">4k followers</t>
  </si>
  <si>
    <t xml:space="preserve">Encore Creative Center
https://www.encorecreativecenter.com/</t>
  </si>
  <si>
    <t xml:space="preserve">sponsor / networking</t>
  </si>
  <si>
    <t xml:space="preserve">learn@encorecreativecenter.com</t>
  </si>
  <si>
    <t xml:space="preserve">2 locations in ID</t>
  </si>
  <si>
    <t xml:space="preserve">@encorecreativecenter</t>
  </si>
  <si>
    <t xml:space="preserve">1500 followers</t>
  </si>
  <si>
    <t xml:space="preserve">The Sparrow hotel
https://sparrowboise.com/</t>
  </si>
  <si>
    <t xml:space="preserve">in kind, lodging; sponsor.  Downtown boutique hotel</t>
  </si>
  <si>
    <t xml:space="preserve">info@sparrowBoise.com</t>
  </si>
  <si>
    <t xml:space="preserve">Mulitple</t>
  </si>
  <si>
    <t xml:space="preserve">modern / hip lookings</t>
  </si>
  <si>
    <t xml:space="preserve">@sparrowboise</t>
  </si>
  <si>
    <t xml:space="preserve">1400 followers</t>
  </si>
  <si>
    <t xml:space="preserve">Dope Boxing (photos are all of female atheletes.)</t>
  </si>
  <si>
    <t xml:space="preserve">all female atheletes</t>
  </si>
  <si>
    <t xml:space="preserve">IG only</t>
  </si>
  <si>
    <t xml:space="preserve">not able to find links now, out of business?</t>
  </si>
  <si>
    <t xml:space="preserve">Caffeina Coffee in Boise
https://caffeinacoffee.com/</t>
  </si>
  <si>
    <t xml:space="preserve">in kind, beverage or sponsorship</t>
  </si>
  <si>
    <t xml:space="preserve">info@caffeinacoffee.com</t>
  </si>
  <si>
    <t xml:space="preserve">@caffeinaroastingco</t>
  </si>
  <si>
    <t xml:space="preserve">4,400 followers</t>
  </si>
  <si>
    <t xml:space="preserve">Cycle Bar in Idaho,franchise
https://www.cyclebar.com/location/village-meridian</t>
  </si>
  <si>
    <t xml:space="preserve">female led business, female atheletes</t>
  </si>
  <si>
    <t xml:space="preserve">villiagemeridian@cyclebar.com</t>
  </si>
  <si>
    <t xml:space="preserve">franchise so maybe there are too many restrictions</t>
  </si>
  <si>
    <t xml:space="preserve">@cyclebar
this is the one branded IG page vs location specific</t>
  </si>
  <si>
    <t xml:space="preserve">63.1 followers</t>
  </si>
  <si>
    <t xml:space="preserve">Asana Climbing Gym, great mission station.  Local Boise business</t>
  </si>
  <si>
    <t xml:space="preserve">great mission statement: to facilitate a positive environment and atmosphere, full of challenges and excitement, in order to create personal and community growth</t>
  </si>
  <si>
    <t xml:space="preserve">inquiry@asanaclimbing.com</t>
  </si>
  <si>
    <t xml:space="preserve">Mystery Ranch retail</t>
  </si>
  <si>
    <t xml:space="preserve">website and Instagram; nothing for marketing or sales per se; sponsorships are 'donations' and that doesn't fit </t>
  </si>
  <si>
    <t xml:space="preserve">Northface </t>
  </si>
  <si>
    <t xml:space="preserve">Instagram - website sucks portal is only for sales support</t>
  </si>
  <si>
    <t xml:space="preserve">Push Pour Coffee (3 locations)
https://www.pushandpour.com/pages/garden-city</t>
  </si>
  <si>
    <t xml:space="preserve">Push and Pour is more than just a coffee shop—it's a hub for creativity, community, and friendship, deeply rooted in Boise's skateboarding culture.  the Garden City location has a great wall!  and close to Rosa (see below) it looks like.</t>
  </si>
  <si>
    <t xml:space="preserve">info@pushandpour.com</t>
  </si>
  <si>
    <t xml:space="preserve">@pushandpour</t>
  </si>
  <si>
    <t xml:space="preserve">15.9k Followers</t>
  </si>
  <si>
    <t xml:space="preserve">Rosa Garden City restaruant
https://www.rosagardencity.com/</t>
  </si>
  <si>
    <t xml:space="preserve">comes up as one of the hottest places in Boise, Mexican taco shack, great wall possiblity</t>
  </si>
  <si>
    <t xml:space="preserve">Listening@rosagardencity.com
concept is by a larger restaurant group, see next line</t>
  </si>
  <si>
    <t xml:space="preserve">cannot find it</t>
  </si>
  <si>
    <t xml:space="preserve">Wylder Hospitality Group 
https://www.wylderhospitalitygroup.com/</t>
  </si>
  <si>
    <t xml:space="preserve">have multiple concepts in Boise</t>
  </si>
  <si>
    <t xml:space="preserve">cannot find a central email or IG account</t>
  </si>
  <si>
    <t xml:space="preserve">Rose Entertainment Group
https://www.roseentertainmentpnw.com/</t>
  </si>
  <si>
    <t xml:space="preserve">in Portland and Seattle as well as Boise.  Event / rave productions</t>
  </si>
  <si>
    <t xml:space="preserve">@roseentertainmentBoise</t>
  </si>
  <si>
    <t xml:space="preserve">only 2,400</t>
  </si>
  <si>
    <t xml:space="preserve">Boise Creative Center
https://boise-creative.com/</t>
  </si>
  <si>
    <t xml:space="preserve">from an article: Alex grew up in Nampa and worked in finance before quitting his day job to pursue art full-time. He specializes in murals and his work can be seen at many local businesses, including Western Collective, Split Rail Winery, PreFunk Beer Bar, Prestige Water Sports, Boise Juice Company, North End Organic Nursery, and many more! He is known for his upbeat attitude and goofball personality and has created an unforgettable atmosphere at Boise Creative Center. 
Located at 1204 W Front St., Vega has transformed the old A1 building into a fun, relaxed space to bring out the creative energy in everyone. Boise Creative Center is an art commission studio and gallery warehouse, as well as an event center for art classes and parties. Spend a night out at the popular Friday night Paint n’ Sip class for adults and create a masterpiece, or bring your children in every second Sunday of the month to the Kids Paint Party. Private parties can be booked for any occasion.
In addition to public and private painting classes, Boise Creative Center offers custom canvas paintings, murals, commercial signs, illustration, graphic design and printing, web design, commercial and residential painting.</t>
  </si>
  <si>
    <t xml:space="preserve">Freak Alley Gallery
https://www.freakalleyboise.com/</t>
  </si>
  <si>
    <t xml:space="preserve">Located between 8th and 9th street and Bannock and Idaho in downtown Boise, Freak Alley is currently recognized as the largest open-air mural gallery in the northwestern United States.</t>
  </si>
  <si>
    <t xml:space="preserve">freakalley@baumrevision.com
New works are formally added on a nearly annual basis, usually an event during the summer, either painting over or being incorporated into older murals or covering vacant space. The project is supported solely by volunteer work and donations in the form of money and art supplies.</t>
  </si>
  <si>
    <t xml:space="preserve">@freakalleygallery</t>
  </si>
  <si>
    <t xml:space="preserve">Poetic Tiger Gallery
https://poetictiger.com/about/ </t>
  </si>
  <si>
    <t xml:space="preserve">Boise contempary art gallery; The gallery nurtures creative communities through presentations, workshops, mentorships, commissions, and educational events that deepen the conversation around contemporary art. Each year, partnerships with artists and organizations support fundraisers that strengthen community impact.</t>
  </si>
  <si>
    <t xml:space="preserve">hello@poetictiger.com</t>
  </si>
  <si>
    <t xml:space="preserve">@poetictigergallery</t>
  </si>
  <si>
    <t xml:space="preserve">12.5k followers</t>
  </si>
  <si>
    <t xml:space="preserve">HyperLUX Mag
https://hyperluxmagazine.com/category/art/</t>
  </si>
  <si>
    <t xml:space="preserve">Interview or feature or collab with this art magazine produced by Boise art gallery Poetic Tiger
</t>
  </si>
  <si>
    <t xml:space="preserve">partners@hyperluxmagazine.com</t>
  </si>
  <si>
    <t xml:space="preserve">@hyperluxmagazine</t>
  </si>
  <si>
    <t xml:space="preserve">13.5k followers</t>
  </si>
  <si>
    <t xml:space="preserve">Visit Boise
visitboise.com</t>
  </si>
  <si>
    <t xml:space="preserve">local and national - thanks to their supportive partnerships, they are able to get visiting media connections and help connect you with local reporters, story ideas and pitch development</t>
  </si>
  <si>
    <t xml:space="preserve">John Curtis, john.curtis@fahlgren.com</t>
  </si>
  <si>
    <t xml:space="preserve">Idaho Statesman </t>
  </si>
  <si>
    <t xml:space="preserve">Boise's primary newspaper; one of two daily newspapers that operate out of Boise</t>
  </si>
  <si>
    <t xml:space="preserve">City Lifestyle Magazine
Boisecitylifestyle.com</t>
  </si>
  <si>
    <t xml:space="preserve">Print and digital magazine for local living</t>
  </si>
  <si>
    <t xml:space="preserve">Editorial:  Vince.Gewalt@LifestylePubs.com</t>
  </si>
  <si>
    <t xml:space="preserve">@boiselifestyle</t>
  </si>
  <si>
    <t xml:space="preserve">6k followers</t>
  </si>
  <si>
    <t xml:space="preserve">Boise Weekly. Idaho Press
Idahopress.com</t>
  </si>
  <si>
    <t xml:space="preserve">@boiseweekly</t>
  </si>
  <si>
    <t xml:space="preserve">33k followers</t>
  </si>
  <si>
    <t xml:space="preserve">Totally Boise
TotallyBoise.com</t>
  </si>
  <si>
    <t xml:space="preserve">Tahira has been featured. Hoping for a warm intro.  This is local &amp; travel website, focusing on culture, food, events, business and people </t>
  </si>
  <si>
    <t xml:space="preserve">@totallyboise</t>
  </si>
  <si>
    <t xml:space="preserve">60.9k followers</t>
  </si>
  <si>
    <t xml:space="preserve">Boise Art Museum</t>
  </si>
  <si>
    <t xml:space="preserve">emailed on July 24th</t>
  </si>
  <si>
    <t xml:space="preserve">Amber@boiseartmuseum.org</t>
  </si>
  <si>
    <t xml:space="preserve">Bozeman Hot Springs
https://bozemanhotsprings.co/</t>
  </si>
  <si>
    <t xml:space="preserve">info@bhsprings.com</t>
  </si>
  <si>
    <t xml:space="preserve">@bozemanhotsprings</t>
  </si>
  <si>
    <t xml:space="preserve">11.8k followers</t>
  </si>
  <si>
    <t xml:space="preserve">The Clean Slate Group
https://www.cleanslategroup.org/</t>
  </si>
  <si>
    <t xml:space="preserve">, City of Bozeman, and Gallatin Art Crossing have come together to facilitate the A.R.T. Project, or “Artistically Reclaimed Trafficbox.”</t>
  </si>
  <si>
    <t xml:space="preserve">website portal, no specific email on the site </t>
  </si>
  <si>
    <t xml:space="preserve">Website portal</t>
  </si>
  <si>
    <t xml:space="preserve">@cleanslateroup</t>
  </si>
  <si>
    <t xml:space="preserve">&lt;250 followers</t>
  </si>
  <si>
    <t xml:space="preserve">Apres Brewing &amp; Coffee in Bozeman
https://drinkapresbeer.com/
</t>
  </si>
  <si>
    <t xml:space="preserve">locally owned, beer and NA brews</t>
  </si>
  <si>
    <t xml:space="preserve"> cory@drinkapresbeer.com and Tyler@drinkspresbeer.com</t>
  </si>
  <si>
    <t xml:space="preserve">in conversation, no funds but very generous with another lead</t>
  </si>
  <si>
    <t xml:space="preserve">@apresbeer</t>
  </si>
  <si>
    <t xml:space="preserve">Big Sky resort</t>
  </si>
  <si>
    <t xml:space="preserve">big employer in town</t>
  </si>
  <si>
    <t xml:space="preserve">megan.munley@bigskyresort.com plus website portal and Instagram</t>
  </si>
  <si>
    <t xml:space="preserve">@bigskyresort</t>
  </si>
  <si>
    <t xml:space="preserve">288k followers</t>
  </si>
  <si>
    <t xml:space="preserve">Evrgreen Clothing Boutique
https://www.evrgreenclothing.com/</t>
  </si>
  <si>
    <t xml:space="preserve">on Main street</t>
  </si>
  <si>
    <t xml:space="preserve">@evrgreen_clothing</t>
  </si>
  <si>
    <t xml:space="preserve">7,500 followers</t>
  </si>
  <si>
    <t xml:space="preserve">Intrigue Ink
https://intrigue.ink/</t>
  </si>
  <si>
    <t xml:space="preserve"> - two sisters started and run this small independant silk screening art clothing shop, made it regionally</t>
  </si>
  <si>
    <t xml:space="preserve">@intrigueink</t>
  </si>
  <si>
    <t xml:space="preserve">14.1k followers</t>
  </si>
  <si>
    <t xml:space="preserve">Gallantin Art Crossing, sculpture garden &amp; public art gallery
http://gallatinartcrossing.com/</t>
  </si>
  <si>
    <t xml:space="preserve">portal and IG only</t>
  </si>
  <si>
    <t xml:space="preserve">@gallantinartcrossing</t>
  </si>
  <si>
    <t xml:space="preserve">&lt;500 followers</t>
  </si>
  <si>
    <t xml:space="preserve">SLAM, non profit public art organization
https://www.slamfestivals.org/</t>
  </si>
  <si>
    <t xml:space="preserve">mural festival</t>
  </si>
  <si>
    <t xml:space="preserve">Noah via info@slamfetivals.org</t>
  </si>
  <si>
    <t xml:space="preserve">emailed us we were too late for any opportuities this year, try next year</t>
  </si>
  <si>
    <t xml:space="preserve">outdated.  @slamfestivals</t>
  </si>
  <si>
    <t xml:space="preserve">1800 followers</t>
  </si>
  <si>
    <t xml:space="preserve">Snowflake AI </t>
  </si>
  <si>
    <t xml:space="preserve">Bozeman and Denver offices</t>
  </si>
  <si>
    <t xml:space="preserve">website portal, no IG account and no emails for media or marketing</t>
  </si>
  <si>
    <t xml:space="preserve">Workiva Software</t>
  </si>
  <si>
    <t xml:space="preserve">headquarters in Bozeman</t>
  </si>
  <si>
    <t xml:space="preserve">website portal</t>
  </si>
  <si>
    <t xml:space="preserve">Cannary District; the whole space</t>
  </si>
  <si>
    <t xml:space="preserve">https://www.cannerydistrict.com/contact; website portal</t>
  </si>
  <si>
    <t xml:space="preserve">6/25th</t>
  </si>
  <si>
    <t xml:space="preserve">Treeline Coffee</t>
  </si>
  <si>
    <t xml:space="preserve">referral from Apres Brewing</t>
  </si>
  <si>
    <t xml:space="preserve">Natalie Van Dusen &lt;natalie@treelinecoffee.com&gt;</t>
  </si>
  <si>
    <t xml:space="preserve">Natalie responded and they have a wall is landlord agrees to it. Landlord agreed but no money to do the work. </t>
  </si>
  <si>
    <t xml:space="preserve">Closed convo / do not follow up</t>
  </si>
  <si>
    <t xml:space="preserve">Montana State Uni, Arts &amp; Architecture college</t>
  </si>
  <si>
    <t xml:space="preserve">BIG presence in the city and has an art and architecture dept - totally aligns in the space of developing and collaborating w/ public art</t>
  </si>
  <si>
    <t xml:space="preserve">Dean, Asst Dean and publications manager at the university
https://www.montana.edu/search/departments.html?mus.q=&amp;gsc.q=&amp;mus.d=10</t>
  </si>
  <si>
    <t xml:space="preserve">Bozeman Chamber of Commerce</t>
  </si>
  <si>
    <t xml:space="preserve">Karri Clark, Director of Sales &amp; Membership Operations, at 406-922-0446 or kclark@bozemanchamber.com
Briana Wolfe, Director of Tourism &amp; Sales, at (406) 922-0446 or bwolfe@bozemanchamber.com</t>
  </si>
  <si>
    <t xml:space="preserve">Downtown Bozeman Org</t>
  </si>
  <si>
    <t xml:space="preserve">Website portal general and to Emma Bode, Commissioner</t>
  </si>
  <si>
    <t xml:space="preserve">Tech company called onXmaps</t>
  </si>
  <si>
    <t xml:space="preserve">onX products are built by adventurers, for adventurers. Our current suite of navigation apps includes onX Hunt, onX Offroad, and onX Backcountry. We believe that every adventurer needs to know where to go, to know where they stand, and to be able to share their experiences.</t>
  </si>
  <si>
    <t xml:space="preserve">MEDIA:  pr@onxmaps.com
for business inquiries it is a portal:  https://www.onxmaps.com/business-inquiries</t>
  </si>
  <si>
    <t xml:space="preserve">@onx_maps</t>
  </si>
  <si>
    <t xml:space="preserve">4k followers;  </t>
  </si>
  <si>
    <t xml:space="preserve">Zoot Solutions (30 yrs in business)</t>
  </si>
  <si>
    <t xml:space="preserve">tech industry - has a gallery.  https://zootsolutions.com/art-gallery/
Our corporate headquarters are located in Bozeman, Montana. The surrounding natural beauty of the Rocky Mountains and Gallatin Valley offer endless outdoor recreation opportunities for both employees and visitors</t>
  </si>
  <si>
    <t xml:space="preserve">sales@zootweb.com is the only email on site besides careers</t>
  </si>
  <si>
    <t xml:space="preserve">Facebook Messenger</t>
  </si>
  <si>
    <t xml:space="preserve">Dmed on FB 7.25.25
Have a note in calendar to call Monday </t>
  </si>
  <si>
    <t xml:space="preserve">no IG link on site but has FB </t>
  </si>
  <si>
    <t xml:space="preserve">Quiq (tech / AI) customers are retails and travel/hospitatlity businesses</t>
  </si>
  <si>
    <t xml:space="preserve">We were first to market with a customer-facing Generative AI Assistant and continue to lead the market in deployments. And while we started Quiq with a focus on digital channels, we’ve also added Voice AI and Email AI to round out our suite of AI offerings</t>
  </si>
  <si>
    <t xml:space="preserve">info@quiq.com and press@quiq.com</t>
  </si>
  <si>
    <t xml:space="preserve">SKIP</t>
  </si>
  <si>
    <t xml:space="preserve">they offer IG products for business but do not show IG for their own</t>
  </si>
  <si>
    <t xml:space="preserve">Kettlehouse Brewery</t>
  </si>
  <si>
    <t xml:space="preserve">Local, 2 tap rooms, ampitheater **This brewery, complete with taproom, quality control and quality assurance lab, canning line, water treatment facility, and music venue (KettleHouse Amphitheater) on site</t>
  </si>
  <si>
    <t xml:space="preserve">info@kettlehouse.com; owners are  Founders: Tim O’Leary and Suzy Rizza; President:  zeb.harrington@kettlehouse.com; Marketing Director: Tiffany Lutke</t>
  </si>
  <si>
    <t xml:space="preserve">Nothing N/A so doesn't align as well as I'd like</t>
  </si>
  <si>
    <t xml:space="preserve">16.2k followers</t>
  </si>
  <si>
    <t xml:space="preserve">Roly-Poly</t>
  </si>
  <si>
    <t xml:space="preserve">Awesome spot + cool location
Big event next week
Have an "in" after spending time here 7/26</t>
  </si>
  <si>
    <t xml:space="preserve">Owner: Taylor Wallace (from Austin - flat track)
North east Bozeman</t>
  </si>
  <si>
    <t xml:space="preserve">Walk in</t>
  </si>
  <si>
    <t xml:space="preserve">Conacted and waiting for reply
big event 7/30
two possible locations</t>
  </si>
  <si>
    <t xml:space="preserve">Beacon Coffee</t>
  </si>
  <si>
    <t xml:space="preserve">Owner is interested + landlord maybe
Great location by campus
Building has great potential and severly needs some love
23 years in business</t>
  </si>
  <si>
    <t xml:space="preserve">Owner: Patrick</t>
  </si>
  <si>
    <t xml:space="preserve">meeting set for 27th, they were really interested then ultimately declined due to money</t>
  </si>
  <si>
    <t xml:space="preserve">The Extreme History Project</t>
  </si>
  <si>
    <t xml:space="preserve">Extreme History believes in setting a Truth Agenda which will work toward eradicating political and social agendas from the traditional historical narratives and pursue a more balanced and honest expression of the past</t>
  </si>
  <si>
    <t xml:space="preserve">Maybe this person on the Bozeman staff is the 'in' Tracy L. Livingston is a Cultural Anthropologist, Archaeologist, Historian, Montana Master Gardener, budding Social Media Goddess, and lifelong Volunteer.   This is the only email on their site: info@extremehistoryproject.org</t>
  </si>
  <si>
    <t xml:space="preserve">&gt;1,400K followers</t>
  </si>
  <si>
    <t xml:space="preserve">Saffire Motel</t>
  </si>
  <si>
    <t xml:space="preserve">The Sapphire Motel was honored once again as the “Best Retro Hotel in Montana” by Distinctly Montana. Additionally, we were thrilled to receive the accolade of “Best Urban Hotel” from the same publication</t>
  </si>
  <si>
    <t xml:space="preserve">hello@thesapphiremotel.com   </t>
  </si>
  <si>
    <t xml:space="preserve">The MT Housewife / Allie Schulz</t>
  </si>
  <si>
    <t xml:space="preserve">content creator focusing on homemaking, family life, and slow living in Bozeman, Montana. She describes herself as a modern mom dedicated to keeping her family happy and healthy. Her content features aspects of her daily life, such as home-cooked meals, home décor, and embracing a slower pace of life in Montana.</t>
  </si>
  <si>
    <t xml:space="preserve">Not sure this aligns - her blog is all about being a good Christian homemaker serving your family  (eek)  https://mtnhousewife.blogspot.com/</t>
  </si>
  <si>
    <t xml:space="preserve">Greet Magazine (a franchise of media co:  The N2 Company)</t>
  </si>
  <si>
    <t xml:space="preserve">Greet is the premier publisher of large-scale community and town magazines. We create custom issues mailed to community residents for free every month  *Greet publishers plan fun community events, encouraging connections between residents and our local business partners</t>
  </si>
  <si>
    <t xml:space="preserve">Jess Payne, franchise owner and publisher of Greet Bozeman in beautiful Bozeman, MT - webiste has a portal to get in touch with her:  https://greetmag.com/locations/bozeman-mt/#publisher</t>
  </si>
  <si>
    <t xml:space="preserve">500 followers
Jessica Payne's IG is set to private: jpayne5019 with just under 1,300 followers</t>
  </si>
  <si>
    <t xml:space="preserve">Mountain Walking Brewery</t>
  </si>
  <si>
    <t xml:space="preserve">Gustav Dose, the founder of Mountains Walking and director of brewing, grew up in Taiwan and Japan and studied brewing around the world. When it came time to put down roots, he and his wife decided to raise their family in Bozeman. Gustav is committed to the ancient traditions of brewing and is interested in beers made with living cultures that have naturally lower alcohol and sugar levels. He believes that new and surprising discoveries come from watching the brewing process very closely and learning from the practice of making beer.</t>
  </si>
  <si>
    <t xml:space="preserve">hello@mountainswalking.com
Owner is Gustav</t>
  </si>
  <si>
    <t xml:space="preserve">@mountainwalkingbrewery     </t>
  </si>
  <si>
    <t xml:space="preserve">13.8K followers </t>
  </si>
  <si>
    <t xml:space="preserve">Bessie Hudgens, Realtor</t>
  </si>
  <si>
    <t xml:space="preserve">Luxury Collection Specialist; After earning my Bachelor’s degree in Art History (with a minor in Landscape Architecture) </t>
  </si>
  <si>
    <t xml:space="preserve">bessie.hudgens@bhhsmt.com</t>
  </si>
  <si>
    <t xml:space="preserve"> @Bessie.hudgens</t>
  </si>
  <si>
    <t xml:space="preserve">5k followers</t>
  </si>
  <si>
    <t xml:space="preserve">Red Wing Shoes</t>
  </si>
  <si>
    <t xml:space="preserve">big retailer - headquarters are in Minnesota </t>
  </si>
  <si>
    <t xml:space="preserve">media@redwingshoes.com</t>
  </si>
  <si>
    <t xml:space="preserve"> @redwinghertiage</t>
  </si>
  <si>
    <t xml:space="preserve">532k followers</t>
  </si>
  <si>
    <t xml:space="preserve">J &amp; V Restaurant Supply
https://jvrestaurant.com/</t>
  </si>
  <si>
    <t xml:space="preserve">Great location and exterior walls - Zuzu scouted and contacted</t>
  </si>
  <si>
    <t xml:space="preserve">ilaird@jvrestaurant.com</t>
  </si>
  <si>
    <t xml:space="preserve">Pure Dispensary
https://puredispensarymt.com/</t>
  </si>
  <si>
    <t xml:space="preserve">Oscar &amp; Becca
marketing@puredispensarymt.com</t>
  </si>
  <si>
    <t xml:space="preserve">No IG only a FB</t>
  </si>
  <si>
    <t xml:space="preserve">FeverDream Vintage
2903 e colfax, Denver, Colorado 80206</t>
  </si>
  <si>
    <t xml:space="preserve">wall, cool neighborhood</t>
  </si>
  <si>
    <t xml:space="preserve">Ronnie
veronicadesangles@gmail.com</t>
  </si>
  <si>
    <t xml:space="preserve">@feverdreamdenver</t>
  </si>
  <si>
    <t xml:space="preserve">Confirmed Sponsor</t>
  </si>
  <si>
    <t xml:space="preserve">  Denver Public Art
https://denverpublicart.org/</t>
  </si>
  <si>
    <t xml:space="preserve">publicart@denvergov.org</t>
  </si>
  <si>
    <t xml:space="preserve">Ink Monster - Denver
https://www.inkmonstr.com/</t>
  </si>
  <si>
    <t xml:space="preserve">print shop</t>
  </si>
  <si>
    <t xml:space="preserve">Jon White, CEO
jon@inkmonstr.com</t>
  </si>
  <si>
    <t xml:space="preserve">some back and forth via email.  Sent more info on their request.  Did not want a meeting.</t>
  </si>
  <si>
    <t xml:space="preserve">@inkmonstr</t>
  </si>
  <si>
    <t xml:space="preserve">8,100 followers</t>
  </si>
  <si>
    <t xml:space="preserve">Rino Art District -</t>
  </si>
  <si>
    <t xml:space="preserve">District in the city for artists and galleries</t>
  </si>
  <si>
    <t xml:space="preserve">Membership and Engagement Manager, Brittany Ross
Brittany@rinoartdistrict.org</t>
  </si>
  <si>
    <t xml:space="preserve">some back and forth via IG suggesting I email Brittany, I did and got no response</t>
  </si>
  <si>
    <t xml:space="preserve">The Denver Central Market
https://www.denvercentralmarket.com/</t>
  </si>
  <si>
    <t xml:space="preserve">11 vendors. One House. All in the heart of RiNo</t>
  </si>
  <si>
    <t xml:space="preserve">Zeppelin Station
https://www.zeppelinstation.com/</t>
  </si>
  <si>
    <t xml:space="preserve"> (hosts murals and immersive installations)</t>
  </si>
  <si>
    <t xml:space="preserve">Joshua Schmitz &lt;staysocial@handsomeboys.com</t>
  </si>
  <si>
    <t xml:space="preserve">IG DM then James emailed me from email listed here.  Ask for more info, sent deck.  They were still under construction - timing didn't work out. (check back for 2026?)  He never responded to my 2nd email</t>
  </si>
  <si>
    <t xml:space="preserve">40 West Arts District</t>
  </si>
  <si>
    <t xml:space="preserve">Liz Black
liz@40westarts.com</t>
  </si>
  <si>
    <t xml:space="preserve">timing didn't work but, put on 2026 list</t>
  </si>
  <si>
    <t xml:space="preserve">@40westarts </t>
  </si>
  <si>
    <t xml:space="preserve">6,600 followers</t>
  </si>
  <si>
    <t xml:space="preserve">MOB Coffee</t>
  </si>
  <si>
    <t xml:space="preserve">in kind, beverage for reveal event - close to reveal</t>
  </si>
  <si>
    <t xml:space="preserve">no website, IG only</t>
  </si>
  <si>
    <t xml:space="preserve">did not end up needed coffee for event</t>
  </si>
  <si>
    <t xml:space="preserve">@mobcoffeedenver </t>
  </si>
  <si>
    <t xml:space="preserve">1,600 followers</t>
  </si>
  <si>
    <t xml:space="preserve">Cherry Creek Park, RV camping
https://cpw.state.co.us/state-parks/cherry-creek-state-park</t>
  </si>
  <si>
    <t xml:space="preserve">in kind, lodging for RV</t>
  </si>
  <si>
    <t xml:space="preserve">cherry.creek/park@state.co.us</t>
  </si>
  <si>
    <t xml:space="preserve">HipCamp
https://www.hipcamp.com/en-US</t>
  </si>
  <si>
    <t xml:space="preserve">in, lodging for RV</t>
  </si>
  <si>
    <t xml:space="preserve">instagram</t>
  </si>
  <si>
    <t xml:space="preserve">@hipcamp</t>
  </si>
  <si>
    <t xml:space="preserve">421k followers</t>
  </si>
  <si>
    <t xml:space="preserve">Spectra Art Space
https://spectraartspace.com/</t>
  </si>
  <si>
    <t xml:space="preserve">in the Santa Fe art district</t>
  </si>
  <si>
    <t xml:space="preserve">Sadie Young 
CEO/ Chief Curators
pectraartdenver@gmail.com</t>
  </si>
  <si>
    <t xml:space="preserve">in converation but, she ended up being too scattered to really connect.  Then woudl not cross promote </t>
  </si>
  <si>
    <t xml:space="preserve">@spectraartspace </t>
  </si>
  <si>
    <t xml:space="preserve">38.5K followers</t>
  </si>
  <si>
    <t xml:space="preserve">Threyda Art Gallery and Apparel
https://www.threyda.com/</t>
  </si>
  <si>
    <t xml:space="preserve">Dillon@threyda.com</t>
  </si>
  <si>
    <t xml:space="preserve">@threyda </t>
  </si>
  <si>
    <t xml:space="preserve">157k followers</t>
  </si>
  <si>
    <t xml:space="preserve">Santulan Architecture
https://santulanarch.com/</t>
  </si>
  <si>
    <t xml:space="preserve">hello@santulanarchitecture.com</t>
  </si>
  <si>
    <t xml:space="preserve">@santulanarch</t>
  </si>
  <si>
    <t xml:space="preserve">275 followers</t>
  </si>
  <si>
    <t xml:space="preserve">Denver Arts District website and collective
https://denversartdistrict.org/</t>
  </si>
  <si>
    <t xml:space="preserve">This is the 'organizational' part of the arts district.  They handle the big events there and serve as a summary and resource to all the businesses in the district</t>
  </si>
  <si>
    <t xml:space="preserve">Ana Paula Pinto | Director of Programs &amp; Operations
hello@denverartdistrict.org and anapaula@denverartdistrict.org</t>
  </si>
  <si>
    <t xml:space="preserve">A lot of back and forth, great ally - no financial resources in their non profit</t>
  </si>
  <si>
    <t xml:space="preserve">@denverartsdistrict</t>
  </si>
  <si>
    <t xml:space="preserve">18.2k followers</t>
  </si>
  <si>
    <t xml:space="preserve">Corvus Coffee roasters, shops and merch</t>
  </si>
  <si>
    <t xml:space="preserve">multiple locations, sponsorship or in kind for coffee.  Good IG following</t>
  </si>
  <si>
    <t xml:space="preserve">@corvuscoffee</t>
  </si>
  <si>
    <t xml:space="preserve">44k followers</t>
  </si>
  <si>
    <t xml:space="preserve">Ink &amp; Drink venue, interactive
https://inkanddrinkdenver.com/</t>
  </si>
  <si>
    <t xml:space="preserve">in the Santa Fe art district - art/drink event venue; have a 'featured artist' program</t>
  </si>
  <si>
    <t xml:space="preserve">inkanddrink@outlook.com</t>
  </si>
  <si>
    <t xml:space="preserve">no response to outreach but i did follow up when the reveal was scheduled to invite them out.</t>
  </si>
  <si>
    <t xml:space="preserve">@inkanddrinkdenver</t>
  </si>
  <si>
    <t xml:space="preserve">11.1k followers</t>
  </si>
  <si>
    <t xml:space="preserve">Art of Modeling
https://www.artofmodeling.org/about-1</t>
  </si>
  <si>
    <t xml:space="preserve">actually in Boulder in their NoBo Arts district, female owned and operated, body positivity in their mission statement</t>
  </si>
  <si>
    <t xml:space="preserve">artofmodelinginfo@gmail.com</t>
  </si>
  <si>
    <t xml:space="preserve">@artofmodelingboulder</t>
  </si>
  <si>
    <t xml:space="preserve">1k followers</t>
  </si>
  <si>
    <t xml:space="preserve">no</t>
  </si>
  <si>
    <t xml:space="preserve">Street Wise Arts
https://streetwisearts.org/
</t>
  </si>
  <si>
    <t xml:space="preserve">Our mission is to create mural projects, community events and youth education programs; in Boulder in their NoBo Arts district.  They do a mural festival in September</t>
  </si>
  <si>
    <t xml:space="preserve">we were too late for this year's mural fest, look out for applications accepted for 2026</t>
  </si>
  <si>
    <t xml:space="preserve">@streetwisearts</t>
  </si>
  <si>
    <t xml:space="preserve">6,800 followers</t>
  </si>
  <si>
    <t xml:space="preserve">Leevers Locavore smaller grocer
https://leeverslocavore.com/</t>
  </si>
  <si>
    <t xml:space="preserve">inkind, food 
northside of Denver, locally owned</t>
  </si>
  <si>
    <t xml:space="preserve">info@leeverslocavore.com and partners@leeverslocavore.com</t>
  </si>
  <si>
    <t xml:space="preserve">@leeverslocavore</t>
  </si>
  <si>
    <t xml:space="preserve">11.2k followers</t>
  </si>
  <si>
    <t xml:space="preserve">Denver Public Art Program specifically which is with the Denver Art &amp; Venue org
https://denverpublicart.org/about/</t>
  </si>
  <si>
    <t xml:space="preserve">@denverpublicart</t>
  </si>
  <si>
    <t xml:space="preserve">13.3k followers</t>
  </si>
  <si>
    <t xml:space="preserve">Denver Beer Co (NA Hop Water program)</t>
  </si>
  <si>
    <t xml:space="preserve">has an NA beverage program</t>
  </si>
  <si>
    <t xml:space="preserve">publicrelations@denverbeerco.com</t>
  </si>
  <si>
    <t xml:space="preserve">@denverbeerco</t>
  </si>
  <si>
    <t xml:space="preserve">53.2k followers</t>
  </si>
  <si>
    <t xml:space="preserve">Abbott and Wallace, NA Spirit distillery</t>
  </si>
  <si>
    <t xml:space="preserve">NA beverages, sponsorship for reveal in kind with their RTD products</t>
  </si>
  <si>
    <t xml:space="preserve">hello@abbotandwallace.com</t>
  </si>
  <si>
    <t xml:space="preserve">@abbottandwallace</t>
  </si>
  <si>
    <t xml:space="preserve">3,500 followers</t>
  </si>
  <si>
    <t xml:space="preserve">Pineapple Agency</t>
  </si>
  <si>
    <t xml:space="preserve">hello@thepineappleagency.com</t>
  </si>
  <si>
    <t xml:space="preserve">Electic Activation</t>
  </si>
  <si>
    <t xml:space="preserve">Nikki@electicactivation.com</t>
  </si>
  <si>
    <t xml:space="preserve">Pinecone Project</t>
  </si>
  <si>
    <t xml:space="preserve">sam@thepineconeproject.com; Sam Warren, Creative Director and Founding Partner</t>
  </si>
  <si>
    <t xml:space="preserve">Occasionally Fabilous Events</t>
  </si>
  <si>
    <t xml:space="preserve">Hello@ and Jenny@</t>
  </si>
  <si>
    <t xml:space="preserve">Revolt Marketing</t>
  </si>
  <si>
    <t xml:space="preserve">Patrick@ and Jovanni@   JOVANNI BOUNCED BACK</t>
  </si>
  <si>
    <t xml:space="preserve">GMR Marketing</t>
  </si>
  <si>
    <t xml:space="preserve">Inquiries@ and acomm@</t>
  </si>
  <si>
    <t xml:space="preserve">O Hello Media</t>
  </si>
  <si>
    <t xml:space="preserve">hello@ and Taryn@</t>
  </si>
  <si>
    <t xml:space="preserve">Dairy Block</t>
  </si>
  <si>
    <t xml:space="preserve">Nate.Couture@mcwhinney.com</t>
  </si>
  <si>
    <t xml:space="preserve">American Guerilla marketing</t>
  </si>
  <si>
    <t xml:space="preserve">info@ and Justin@</t>
  </si>
  <si>
    <t xml:space="preserve">Denverhelp@meowwolf.com and press@</t>
  </si>
  <si>
    <t xml:space="preserve">Impossible Pictures</t>
  </si>
  <si>
    <t xml:space="preserve">joel@visualapproach.com - BOUNCE BACK</t>
  </si>
  <si>
    <t xml:space="preserve">Abstract Denver</t>
  </si>
  <si>
    <t xml:space="preserve">hello@</t>
  </si>
  <si>
    <t xml:space="preserve">NINE dot ARTS</t>
  </si>
  <si>
    <t xml:space="preserve">LetsTalk@</t>
  </si>
  <si>
    <t xml:space="preserve">Activent Marketing</t>
  </si>
  <si>
    <t xml:space="preserve">Staffing@activentmarketing.com</t>
  </si>
  <si>
    <t xml:space="preserve">Team Player Productions</t>
  </si>
  <si>
    <t xml:space="preserve">tpdanielle@gmail.com</t>
  </si>
  <si>
    <t xml:space="preserve">MiHi Entertainment</t>
  </si>
  <si>
    <t xml:space="preserve">female owned and operated, event booth </t>
  </si>
  <si>
    <t xml:space="preserve">joyce@</t>
  </si>
  <si>
    <t xml:space="preserve">willing to come out to event at no cost.  Our Denver reveal was "too short notice" this go around</t>
  </si>
  <si>
    <t xml:space="preserve">Denver Design Engineers</t>
  </si>
  <si>
    <t xml:space="preserve">Manifold Marketing</t>
  </si>
  <si>
    <t xml:space="preserve">Hello@wearemanifold.com</t>
  </si>
  <si>
    <t xml:space="preserve">Creative Alliance </t>
  </si>
  <si>
    <t xml:space="preserve">Manitou Springs, small town outside of Denver Zuzu liked</t>
  </si>
  <si>
    <t xml:space="preserve">Portal &amp; Instagram</t>
  </si>
  <si>
    <t xml:space="preserve">6/30/2025; requested a meeting - getting times; they reviewed deck and declined a meeting</t>
  </si>
  <si>
    <t xml:space="preserve">Manitou Art Center</t>
  </si>
  <si>
    <t xml:space="preserve">3 contacts Director, Programming and Manager @   </t>
  </si>
  <si>
    <t xml:space="preserve">Art Garage; after school program</t>
  </si>
  <si>
    <t xml:space="preserve">Info@ and Instagram</t>
  </si>
  <si>
    <t xml:space="preserve">Neighborhood Art Studios</t>
  </si>
  <si>
    <t xml:space="preserve">portal and Instagram</t>
  </si>
  <si>
    <t xml:space="preserve">Art Students League of Denver</t>
  </si>
  <si>
    <t xml:space="preserve">Redline Contemporary / REACH; Zuzu is going to swing by on 7/8th</t>
  </si>
  <si>
    <t xml:space="preserve">Great program, non profit - reach ing out and gives art opportunities to those in recovery</t>
  </si>
  <si>
    <t xml:space="preserve">tanthony@redlineart.org</t>
  </si>
  <si>
    <t xml:space="preserve">6/30/2025; Zuzu is going to swing by on 7/8th to meet with Tya and Shaunie</t>
  </si>
  <si>
    <t xml:space="preserve">Metrosphere magazine</t>
  </si>
  <si>
    <t xml:space="preserve">IG DM and metrosphere@mymetmedia.com</t>
  </si>
  <si>
    <t xml:space="preserve">7/7/2025; responded through IG on the 8th; gave email to Zuzu so she can email them directly to discuss a feature 7/15</t>
  </si>
  <si>
    <t xml:space="preserve">303 Magazine</t>
  </si>
  <si>
    <t xml:space="preserve">Mural Event coverage</t>
  </si>
  <si>
    <t xml:space="preserve"> emailed Advertising which bounced back so submitted via portal &amp; IG</t>
  </si>
  <si>
    <t xml:space="preserve">They came out and covered the Denver mural reveal</t>
  </si>
  <si>
    <t xml:space="preserve">Prodigy Coffeehouse (building has a mural, outdated maybe?)
https://prodigyventures.org/</t>
  </si>
  <si>
    <t xml:space="preserve">a Prodigy enterprise, young adults build a foundation of mindsets and skills for sustainable lives, economic mobility and, most importantly, to go forth and enrich their city.</t>
  </si>
  <si>
    <t xml:space="preserve">website portal only: https://prodigyventures.org/contact/</t>
  </si>
  <si>
    <t xml:space="preserve">1st outreach</t>
  </si>
  <si>
    <t xml:space="preserve">Jackson Hole Mntn Resort
https://www.jacksonhole.com/</t>
  </si>
  <si>
    <t xml:space="preserve">instagram DM
info@jacksonhole.com</t>
  </si>
  <si>
    <t xml:space="preserve">large employers, big and looks real traditional outdoorsy, the vibe/look does not align</t>
  </si>
  <si>
    <t xml:space="preserve">@jacksonhole</t>
  </si>
  <si>
    <t xml:space="preserve">646k Followers</t>
  </si>
  <si>
    <t xml:space="preserve">Healthy Being Cafe
https://www.hbcafeandjuicery.com/</t>
  </si>
  <si>
    <t xml:space="preserve">in kind, food &amp; beverage or sponsorship</t>
  </si>
  <si>
    <t xml:space="preserve">	manager@hbcafeandjuicery.com; Instagram</t>
  </si>
  <si>
    <t xml:space="preserve">emailed and IG DM on 6/17th; responded on the 19th</t>
  </si>
  <si>
    <t xml:space="preserve">sent one pager.  Responded but declined mtg due to no budget</t>
  </si>
  <si>
    <t xml:space="preserve">Jackson Hole Public Art</t>
  </si>
  <si>
    <t xml:space="preserve">carrie@jhpublicart.org   </t>
  </si>
  <si>
    <t xml:space="preserve">Jackson Hole Community Radio</t>
  </si>
  <si>
    <t xml:space="preserve">info@jhcr.org</t>
  </si>
  <si>
    <t xml:space="preserve">Harvest Hosts</t>
  </si>
  <si>
    <t xml:space="preserve">You get to savor amazing stays at Hosts across North America, while Hosts appreciate the business and free advertising. And together, Hosts and Members form an amazing community</t>
  </si>
  <si>
    <t xml:space="preserve">support@attentivemobile.com</t>
  </si>
  <si>
    <t xml:space="preserve">
Emailed me and told me they cannot help</t>
  </si>
  <si>
    <t xml:space="preserve">@harvesthosts</t>
  </si>
  <si>
    <t xml:space="preserve">831k followers</t>
  </si>
  <si>
    <t xml:space="preserve">KOA</t>
  </si>
  <si>
    <t xml:space="preserve">collective of camping park sites, membership is minimal and each park/site has its own fees</t>
  </si>
  <si>
    <t xml:space="preserve">marketing@koa.net
communications@koa.net (bounced back)
newsroom@koa.net -- emailed all addresses 6/13th
and IG DM on the 13th</t>
  </si>
  <si>
    <t xml:space="preserve">There sponsorship page mentions mostly giving to under represented communities for outside door specific intintives  
KOA partnered with a female traveler @sarahhfoss </t>
  </si>
  <si>
    <t xml:space="preserve">@kampgroundsofamerica</t>
  </si>
  <si>
    <t xml:space="preserve">151k followers</t>
  </si>
  <si>
    <t xml:space="preserve">Trader Joe's</t>
  </si>
  <si>
    <t xml:space="preserve">in kind food</t>
  </si>
  <si>
    <t xml:space="preserve">Letter ready and will be dropped off on the 11th</t>
  </si>
  <si>
    <t xml:space="preserve">only donate to non profits, via letterhead delived to the location you wish a donation from by a person employeed by the NP</t>
  </si>
  <si>
    <t xml:space="preserve">@traderjoes</t>
  </si>
  <si>
    <t xml:space="preserve">3.4 million</t>
  </si>
  <si>
    <t xml:space="preserve">Whole Foods</t>
  </si>
  <si>
    <t xml:space="preserve">@wholefoods</t>
  </si>
  <si>
    <t xml:space="preserve">4 mil followers</t>
  </si>
  <si>
    <t xml:space="preserve">CLEAN</t>
  </si>
  <si>
    <t xml:space="preserve">in kind beverage, plus great NA company out of Austin.  Very much aligns with artist's lifestyle</t>
  </si>
  <si>
    <t xml:space="preserve">cortney@cleancause.com</t>
  </si>
  <si>
    <t xml:space="preserve">6/2, 6/5</t>
  </si>
  <si>
    <t xml:space="preserve">emailed his personal email to get his ear 6/2nd.  He donated to my daughter's memorial art show 3 years ago.  Cortney never got back to me.  Sent a ask for Denver on 7/15 with information and links to the event and mural</t>
  </si>
  <si>
    <t xml:space="preserve">@cleancause</t>
  </si>
  <si>
    <t xml:space="preserve">46.6k followers</t>
  </si>
  <si>
    <t xml:space="preserve">Coca Cola /  Topo</t>
  </si>
  <si>
    <t xml:space="preserve">previous collaborator</t>
  </si>
  <si>
    <t xml:space="preserve">heather.hoelscher@cocacolaswb.com
also went to the ABV Agency website and sent in an portal inquiry on the 30th</t>
  </si>
  <si>
    <t xml:space="preserve">got contact 5/30, will send email 5/30</t>
  </si>
  <si>
    <t xml:space="preserve">Mural Supply Co</t>
  </si>
  <si>
    <t xml:space="preserve">in kind product</t>
  </si>
  <si>
    <t xml:space="preserve">Is ZuZu reaching out to them directly? Yes!</t>
  </si>
  <si>
    <t xml:space="preserve">The Many (LA Based)
https://www.themany.com/</t>
  </si>
  <si>
    <t xml:space="preserve">emailed the old contacts, all emails bounced back so emailed through the website inquiry form</t>
  </si>
  <si>
    <t xml:space="preserve">Live Nation Experimental
https://livenationforbrands.com/capabilities/experiential-events/</t>
  </si>
  <si>
    <t xml:space="preserve">Edward and Anna listed as previous contacts from 2023</t>
  </si>
  <si>
    <t xml:space="preserve">Fender</t>
  </si>
  <si>
    <t xml:space="preserve">Keith Legro - email provided from 2019 event with the MLB</t>
  </si>
  <si>
    <t xml:space="preserve">Team One | Launching the Remarkable</t>
  </si>
  <si>
    <t xml:space="preserve">Kaitlin Kerns (she/her) | Account Director, Experiential Marketing</t>
  </si>
  <si>
    <t xml:space="preserve">LINE hotel / SOHO house
https://www.thelinehotel.com/austin/</t>
  </si>
  <si>
    <t xml:space="preserve">Christina Smith, previous sponsor on Zuzu's list</t>
  </si>
  <si>
    <t xml:space="preserve">REI</t>
  </si>
  <si>
    <t xml:space="preserve">outdoor lifestyle aligns with RV portion of the tour</t>
  </si>
  <si>
    <t xml:space="preserve">sposnsorship portal -         advertising@rei.com</t>
  </si>
  <si>
    <t xml:space="preserve">Topanga Window </t>
  </si>
  <si>
    <t xml:space="preserve">Neiman Marcus</t>
  </si>
  <si>
    <t xml:space="preserve">contact provided</t>
  </si>
  <si>
    <t xml:space="preserve">Nordstrom</t>
  </si>
  <si>
    <t xml:space="preserve">emailed bounced back</t>
  </si>
  <si>
    <t xml:space="preserve">Vans
https://www.vans.com/en-us/checkerboard-fund</t>
  </si>
  <si>
    <t xml:space="preserve">ideal sponsor, Zuzu wears Vans all the time while painting</t>
  </si>
  <si>
    <t xml:space="preserve">this is their sponsorship page</t>
  </si>
  <si>
    <t xml:space="preserve">in kind beverage, plus great NA company.  Very much aligns with artist's lifestyle</t>
  </si>
  <si>
    <t xml:space="preserve">https://drinkolipop.com/pages/affiliate-program</t>
  </si>
  <si>
    <t xml:space="preserve">@drinkolipop</t>
  </si>
  <si>
    <t xml:space="preserve">381k followers</t>
  </si>
  <si>
    <t xml:space="preserve">Elta MD </t>
  </si>
  <si>
    <t xml:space="preserve">in kind, products.  Zuzu's favorite</t>
  </si>
  <si>
    <t xml:space="preserve">Talk to us about your business, product inquiries, and everything in between.  eltamd@cpskinhealth.com</t>
  </si>
  <si>
    <t xml:space="preserve">5/30 &amp; 6/3</t>
  </si>
  <si>
    <t xml:space="preserve">Zuzu uses these products, possible commision sponsorship</t>
  </si>
  <si>
    <t xml:space="preserve">@eltamdskincare</t>
  </si>
  <si>
    <t xml:space="preserve">250k followers</t>
  </si>
  <si>
    <t xml:space="preserve">Public Art Fund in NYC but advocate national</t>
  </si>
  <si>
    <t xml:space="preserve">networking</t>
  </si>
  <si>
    <t xml:space="preserve">CreativePartnerships@publicartfund.org</t>
  </si>
  <si>
    <t xml:space="preserve">Just wanted to try for some networking connections but they did not offer any help</t>
  </si>
  <si>
    <t xml:space="preserve">Creative West
https://wearecreativewest.org/
</t>
  </si>
  <si>
    <t xml:space="preserve">grants@wearecreativewest.org</t>
  </si>
  <si>
    <t xml:space="preserve">responded but did not want to work with artist based outside their geographical area (wet coast)</t>
  </si>
  <si>
    <t xml:space="preserve">@creativewestrao</t>
  </si>
  <si>
    <t xml:space="preserve">1,318 followers</t>
  </si>
  <si>
    <t xml:space="preserve">ABV Agency (Coca Cola mural)</t>
  </si>
  <si>
    <t xml:space="preserve">projects@abvatl.com
KASEY SHANNON
MANAGING DIRECTOR&lt;kasey@abvatl.com&gt;</t>
  </si>
  <si>
    <t xml:space="preserve">Kasey responded 6/2 but she is only working Atlanta and I requested any leads - no response after</t>
  </si>
  <si>
    <t xml:space="preserve">Enterprise Rental Car</t>
  </si>
  <si>
    <t xml:space="preserve">in kind, transporation needed while in the cities</t>
  </si>
  <si>
    <t xml:space="preserve">bloggerinquiries@em.com; christine.taylor@ehi.com;
reporterinquiries@em.com</t>
  </si>
  <si>
    <t xml:space="preserve">6/3, 10th and 18th</t>
  </si>
  <si>
    <t xml:space="preserve">partnerships by way of commissions on website sales</t>
  </si>
  <si>
    <t xml:space="preserve">Zero Proof</t>
  </si>
  <si>
    <t xml:space="preserve">NA Beverages, aligns with Zuzu's lifestyle</t>
  </si>
  <si>
    <t xml:space="preserve">Bjorn, local Austin rep</t>
  </si>
  <si>
    <t xml:space="preserve">multiple emails - sent the deck to Bjorn to share with his brands.  Had a meeting. He is Austin local so when the project was elsewhere his interested dropped off</t>
  </si>
  <si>
    <t xml:space="preserve">Avis
https://www.avis.com/en/business-programs/affiliates</t>
  </si>
  <si>
    <t xml:space="preserve">joe.ferraro@avisbudget.com</t>
  </si>
  <si>
    <t xml:space="preserve">Affiliate program for commissions up to 4%</t>
  </si>
  <si>
    <t xml:space="preserve">Turo
https://turo.com/us</t>
  </si>
  <si>
    <t xml:space="preserve">andre@turo.com 2nd outreach to Steve Webb:  Steve@turo.com and Press@turo.com</t>
  </si>
  <si>
    <t xml:space="preserve">6/5th &amp; 13th</t>
  </si>
  <si>
    <t xml:space="preserve">@turo</t>
  </si>
  <si>
    <t xml:space="preserve">280k followers</t>
  </si>
  <si>
    <t xml:space="preserve">Camping World
https://www.campingworld.com/</t>
  </si>
  <si>
    <t xml:space="preserve">in kind, lodging for RV parking - tons of IG followers</t>
  </si>
  <si>
    <t xml:space="preserve">website portal, no specific email on the site -- Instagram account with new template</t>
  </si>
  <si>
    <t xml:space="preserve">responded to IG DM sending me the link to their Influencer Partner Application</t>
  </si>
  <si>
    <t xml:space="preserve">@campingworld</t>
  </si>
  <si>
    <t xml:space="preserve">431k followers</t>
  </si>
  <si>
    <t xml:space="preserve">The RV Store</t>
  </si>
  <si>
    <t xml:space="preserve">in kind RV parts</t>
  </si>
  <si>
    <t xml:space="preserve">Access Gallery, non profit art classes and gallery
https://www.accessgallery.org/</t>
  </si>
  <si>
    <t xml:space="preserve">info@accessGallery.org</t>
  </si>
  <si>
    <t xml:space="preserve">@accessgalleryco</t>
  </si>
  <si>
    <t xml:space="preserve">3200 followers</t>
  </si>
  <si>
    <t xml:space="preserve">Rumpl outdoor RV camping gear co
https://www.rumpl.com/</t>
  </si>
  <si>
    <t xml:space="preserve">in kind, lifestyle</t>
  </si>
  <si>
    <t xml:space="preserve">lots of IG followers</t>
  </si>
  <si>
    <t xml:space="preserve">@gorumpl</t>
  </si>
  <si>
    <t xml:space="preserve">195k followers</t>
  </si>
  <si>
    <t xml:space="preserve">Wild Woman Box (camping gear)
https://www.wildwomanbox.com/</t>
  </si>
  <si>
    <t xml:space="preserve">for women by women</t>
  </si>
  <si>
    <t xml:space="preserve">@wildwomanbox</t>
  </si>
  <si>
    <t xml:space="preserve">6,500 followers</t>
  </si>
  <si>
    <t xml:space="preserve">Backcountry (camping gear)
https://www.backcountry.com/</t>
  </si>
  <si>
    <t xml:space="preserve">@backcountry</t>
  </si>
  <si>
    <t xml:space="preserve">932k followers</t>
  </si>
  <si>
    <t xml:space="preserve">Title Nine
https://www.titlenine.com/</t>
  </si>
  <si>
    <t xml:space="preserve"> (camping active women's wear and woman owned)</t>
  </si>
  <si>
    <t xml:space="preserve">@titlenine</t>
  </si>
  <si>
    <t xml:space="preserve">70.7k followers</t>
  </si>
  <si>
    <t xml:space="preserve">Create! Magazine</t>
  </si>
  <si>
    <t xml:space="preserve">collab and partnership contact from website: 
alicia@createmagazine.com</t>
  </si>
  <si>
    <t xml:space="preserve">Juxtapoz Magazine</t>
  </si>
  <si>
    <t xml:space="preserve">Street Art News Magazine</t>
  </si>
  <si>
    <t xml:space="preserve">Instagram - website:  streetartnews.net</t>
  </si>
  <si>
    <t xml:space="preserve">IG DM 6/13th; 7/15th sent Denver flyer and asked about a meeting to talk about the SPRAYCATION vision; maybe we can get a feature through IG</t>
  </si>
  <si>
    <t xml:space="preserve">@streetartnews</t>
  </si>
  <si>
    <t xml:space="preserve">623k followers</t>
  </si>
  <si>
    <t xml:space="preserve">Travel Oregon
https://traveloregon.com/</t>
  </si>
  <si>
    <t xml:space="preserve">sponsorship / feature / marketing</t>
  </si>
  <si>
    <t xml:space="preserve">e-editor@traveloregon.com</t>
  </si>
  <si>
    <t xml:space="preserve">submit content: https://traveloregon.com/write-travel-oregon/</t>
  </si>
  <si>
    <t xml:space="preserve">@traveloregon</t>
  </si>
  <si>
    <t xml:space="preserve">416k followers</t>
  </si>
  <si>
    <t xml:space="preserve">Zipcar</t>
  </si>
  <si>
    <t xml:space="preserve">Instagram; pr@zipcar.com</t>
  </si>
  <si>
    <t xml:space="preserve">Lululemon Creator Program</t>
  </si>
  <si>
    <t xml:space="preserve">clothing brand liked by Zuzu</t>
  </si>
  <si>
    <t xml:space="preserve">application process is on their site, if you want to give it a try</t>
  </si>
  <si>
    <t xml:space="preserve">commission rate - use of promo code</t>
  </si>
  <si>
    <t xml:space="preserve">@lululemon</t>
  </si>
  <si>
    <t xml:space="preserve">3.5m followers</t>
  </si>
  <si>
    <t xml:space="preserve">Born Dead</t>
  </si>
  <si>
    <t xml:space="preserve">website portal and Instagram</t>
  </si>
  <si>
    <t xml:space="preserve">filled out form 6/16</t>
  </si>
  <si>
    <t xml:space="preserve">@borndeadclothing</t>
  </si>
  <si>
    <t xml:space="preserve">152k followers</t>
  </si>
  <si>
    <t xml:space="preserve">Pandco</t>
  </si>
  <si>
    <t xml:space="preserve">@pandco_women</t>
  </si>
  <si>
    <t xml:space="preserve">H&amp;M</t>
  </si>
  <si>
    <t xml:space="preserve">@HM</t>
  </si>
  <si>
    <t xml:space="preserve">38.4m followers</t>
  </si>
  <si>
    <t xml:space="preserve">Nike SB shoes</t>
  </si>
  <si>
    <t xml:space="preserve">Note from Zuzu: Nike
Very interested in chatting with Kelly Bird with Nike SB. He seems like the man with the plan and Nike would be a DREAM client to work with. </t>
  </si>
  <si>
    <t xml:space="preserve">Nike does not have a public application for its brand ambassador or affliate programs. Selection is typically through referrals from within the company or by building a strong reputation as a Nike advocate</t>
  </si>
  <si>
    <t xml:space="preserve">Can we get a warm lead via Scott w/ Nemo. </t>
  </si>
  <si>
    <t xml:space="preserve">Sixt rental car </t>
  </si>
  <si>
    <t xml:space="preserve">international </t>
  </si>
  <si>
    <t xml:space="preserve">Kyte rental car</t>
  </si>
  <si>
    <t xml:space="preserve">Seattle and Denver</t>
  </si>
  <si>
    <t xml:space="preserve">FB and IG, no portal or emails on their website</t>
  </si>
  <si>
    <t xml:space="preserve">Chevron </t>
  </si>
  <si>
    <t xml:space="preserve">big west coast presence</t>
  </si>
  <si>
    <t xml:space="preserve">Website link to PR and media inquires</t>
  </si>
  <si>
    <t xml:space="preserve">noted also as a big west coast presence</t>
  </si>
  <si>
    <t xml:space="preserve">Shell</t>
  </si>
  <si>
    <t xml:space="preserve">website was a no go but I sent an IG DM</t>
  </si>
  <si>
    <t xml:space="preserve">Love's </t>
  </si>
  <si>
    <t xml:space="preserve">national    </t>
  </si>
  <si>
    <t xml:space="preserve">Patrick.McLean@Loves.com</t>
  </si>
  <si>
    <t xml:space="preserve">Medium (magazine)</t>
  </si>
  <si>
    <t xml:space="preserve">pressinquiries@medium.com</t>
  </si>
  <si>
    <t xml:space="preserve">emailed 6/24th</t>
  </si>
  <si>
    <t xml:space="preserve">Zoot Solutions</t>
  </si>
  <si>
    <t xml:space="preserve">Sent details to Zuzu on the city to city sheet.  Sales@zootweb.com</t>
  </si>
  <si>
    <t xml:space="preserve">Regional Arits &amp; Culture Council in Portland OR</t>
  </si>
  <si>
    <t xml:space="preserve">no email but there is an intake form they use</t>
  </si>
  <si>
    <t xml:space="preserve">Crave Catering
https://portland-catering.com/</t>
  </si>
  <si>
    <t xml:space="preserve">At Crave Catering, farm-to-table isn't just a concept–it's our way of life. That's because we operate and source from our very own local property, Gather and Feast Farm, located just 25 miles outside of Portland.
Big bay doors where he wants the mural(s)  Across the street is a bar / businesses so the spot also has some good visiblity plus large reach with their catering clients.</t>
  </si>
  <si>
    <t xml:space="preserve">Owner, Mark
mark@cravepdx.com</t>
  </si>
  <si>
    <t xml:space="preserve">CONFIRMED - MURAL RECIEPTIANT</t>
  </si>
  <si>
    <t xml:space="preserve">@cravecatering</t>
  </si>
  <si>
    <t xml:space="preserve">Not contacted</t>
  </si>
  <si>
    <t xml:space="preserve">DJAquamarine.com
DJswithStyle.com</t>
  </si>
  <si>
    <t xml:space="preserve">great follwing locally and her own business with many DJs in the bullpen</t>
  </si>
  <si>
    <t xml:space="preserve">SonjaCorzando@gmail.com</t>
  </si>
  <si>
    <t xml:space="preserve">CONFIRMED entertaiment for Portland Reveal Event </t>
  </si>
  <si>
    <t xml:space="preserve">@aquamarine3</t>
  </si>
  <si>
    <t xml:space="preserve">Travel Portland
https://www.travelportland.com/</t>
  </si>
  <si>
    <t xml:space="preserve">Events Calendar, standard but well developed city guide with articles, features, etc
https://www.travelportland.com/events/</t>
  </si>
  <si>
    <t xml:space="preserve">visitorinfo@travelportland.com
publicrelations@travelportland.com
calendar@travelportland.com</t>
  </si>
  <si>
    <t xml:space="preserve">@travelportland</t>
  </si>
  <si>
    <t xml:space="preserve">Nossa Familia Coffee
https://www.nossacoffee.com/</t>
  </si>
  <si>
    <t xml:space="preserve">multiple locations in Portland</t>
  </si>
  <si>
    <t xml:space="preserve">CONFIRMED for Portland Reveal Event collaboration</t>
  </si>
  <si>
    <t xml:space="preserve">@nossafamiliacoffee</t>
  </si>
  <si>
    <t xml:space="preserve">Videographer, Matt</t>
  </si>
  <si>
    <t xml:space="preserve">TRINE, Ken</t>
  </si>
  <si>
    <t xml:space="preserve">Astrology Readings at reveal event</t>
  </si>
  <si>
    <t xml:space="preserve">CONFIRMED for reveal event</t>
  </si>
  <si>
    <t xml:space="preserve">OTHER </t>
  </si>
  <si>
    <t xml:space="preserve">The Recovery Gym
https://www.therecoverygym.org/</t>
  </si>
  <si>
    <t xml:space="preserve">recovery community mission aligns</t>
  </si>
  <si>
    <t xml:space="preserve">info@therecoverygym.org
Dion@therecoverygym.org</t>
  </si>
  <si>
    <t xml:space="preserve">@therecoverygym</t>
  </si>
  <si>
    <t xml:space="preserve">Deadstock Coffee; Liam Duffy – Co-founder, Deadstock Coffee Sneaker themed, collabs and supports arts, street art, muralists</t>
  </si>
  <si>
    <t xml:space="preserve">Sneaker head and coffee!  two things that vibe with Zuzu.  Cool origin story.  Strong IG</t>
  </si>
  <si>
    <t xml:space="preserve">IG and website portal.  Can find an email address for Liam</t>
  </si>
  <si>
    <t xml:space="preserve">Wrote on IG 9/21; Zuzu emailed on 9/23rd</t>
  </si>
  <si>
    <t xml:space="preserve">reached out IG 9/23</t>
  </si>
  <si>
    <t xml:space="preserve">@deadstockcoffee</t>
  </si>
  <si>
    <t xml:space="preserve">Urbanite Portland
https://www.urbanitepdx.com/
 </t>
  </si>
  <si>
    <t xml:space="preserve">multi use space, film, gallery, market, events; Known to partner on creative and community-driven initiatives</t>
  </si>
  <si>
    <t xml:space="preserve">Instagram  DM - all conversations were via IG, never gave me an email.  </t>
  </si>
  <si>
    <t xml:space="preserve">in talks - no money but offered to host any event there free</t>
  </si>
  <si>
    <t xml:space="preserve">REFRESH + FOLLOW UP NEEDED </t>
  </si>
  <si>
    <t xml:space="preserve">@urbanitepdx</t>
  </si>
  <si>
    <t xml:space="preserve">Merkled Studio, Architecture &amp; Design co, 
merkled.com
</t>
  </si>
  <si>
    <t xml:space="preserve">Local design/fabrication studio involved in public art and architecture.  Known for working with urban space designers and artists.</t>
  </si>
  <si>
    <t xml:space="preserve">info@merkled.com; Bounced back</t>
  </si>
  <si>
    <t xml:space="preserve">@merkledstudio</t>
  </si>
  <si>
    <t xml:space="preserve">Guerilla Development
https://guerrilladev.co/</t>
  </si>
  <si>
    <t xml:space="preserve">Developer known for quirky, community-centric buildings and funding public art/murals (Jolene’s First Cousin, The Fair-Haired Dumbbell).</t>
  </si>
  <si>
    <t xml:space="preserve">holler@guerilladev.co</t>
  </si>
  <si>
    <t xml:space="preserve">2nd email from Zuzu 9/22</t>
  </si>
  <si>
    <t xml:space="preserve">reached out IG 9/21</t>
  </si>
  <si>
    <t xml:space="preserve">Chef Stable</t>
  </si>
  <si>
    <t xml:space="preserve"> collab with all kinds of creatives</t>
  </si>
  <si>
    <t xml:space="preserve">dana@chefstablegroup.com; BOUNCE BACK</t>
  </si>
  <si>
    <t xml:space="preserve">2nd email from Zuzu 9/23</t>
  </si>
  <si>
    <t xml:space="preserve">reached out email 9/23</t>
  </si>
  <si>
    <t xml:space="preserve">Broadway Books
https://broadwaybooks.net/</t>
  </si>
  <si>
    <t xml:space="preserve"> locally owned, Has a philanthropic and educational background with support for arts and literacy</t>
  </si>
  <si>
    <t xml:space="preserve">portal
bookbroads@broadwaybooks.net</t>
  </si>
  <si>
    <t xml:space="preserve">6/19th</t>
  </si>
  <si>
    <t xml:space="preserve">FB </t>
  </si>
  <si>
    <t xml:space="preserve">Salt &amp; Straw
https://saltandstraw.com/</t>
  </si>
  <si>
    <t xml:space="preserve"> Ice cream empire that began in Portland, known for community storytelling and collaborations with artists</t>
  </si>
  <si>
    <t xml:space="preserve">hello@saltandstraw.com</t>
  </si>
  <si>
    <t xml:space="preserve">Rockstar Energy Open, skateboarding event happening in August</t>
  </si>
  <si>
    <t xml:space="preserve">they have an interactive portion of the event for a muralist</t>
  </si>
  <si>
    <t xml:space="preserve">https://theplatfrm.com/ -  Instagram is the only way to get a message through</t>
  </si>
  <si>
    <t xml:space="preserve">IG DM 6/24th - hoping Scott with Nemo can get us an intro!</t>
  </si>
  <si>
    <t xml:space="preserve">Rebel Heart Therapy (they sponsor the roller derby team)</t>
  </si>
  <si>
    <t xml:space="preserve">hello@rebelheartpdx.com</t>
  </si>
  <si>
    <t xml:space="preserve">emailed 6/24th - many emails back and forth, ultimately declined on 7/8th</t>
  </si>
  <si>
    <t xml:space="preserve">Goodbeast</t>
  </si>
  <si>
    <t xml:space="preserve">info@</t>
  </si>
  <si>
    <t xml:space="preserve">GLGR</t>
  </si>
  <si>
    <t xml:space="preserve">Bolt Marketing Group</t>
  </si>
  <si>
    <t xml:space="preserve">Info@</t>
  </si>
  <si>
    <t xml:space="preserve">Astound </t>
  </si>
  <si>
    <t xml:space="preserve">portal</t>
  </si>
  <si>
    <t xml:space="preserve">Kore Group</t>
  </si>
  <si>
    <t xml:space="preserve">meetus@Koregrp.com</t>
  </si>
  <si>
    <t xml:space="preserve">Nemo</t>
  </si>
  <si>
    <t xml:space="preserve">3rd party - an agency that works with great brands like Nike, Matel </t>
  </si>
  <si>
    <t xml:space="preserve">portal initially.  Contacted and emailed with Scott Keating &lt;scottk@nemodesign.com&gt;</t>
  </si>
  <si>
    <t xml:space="preserve">6/27/2025; request for meeting 7/1st; had a meeting on 7/3. sent f/u and thank you hoping to get warm intro to Portland event in August</t>
  </si>
  <si>
    <t xml:space="preserve">Joyful Co.</t>
  </si>
  <si>
    <t xml:space="preserve">Downtown Portland Clean &amp; Safe non profit</t>
  </si>
  <si>
    <t xml:space="preserve">info@downtownportland.org</t>
  </si>
  <si>
    <t xml:space="preserve">Outlet (art and printing)</t>
  </si>
  <si>
    <t xml:space="preserve">website portal / IG</t>
  </si>
  <si>
    <t xml:space="preserve">Paisley Art Studio</t>
  </si>
  <si>
    <t xml:space="preserve">Website portal / IG</t>
  </si>
  <si>
    <t xml:space="preserve">NUCLEUS (Alberta St Neighborhood)</t>
  </si>
  <si>
    <t xml:space="preserve">NUCLEUS is a gathering place for the art-loving community by offering quality art, art-related goods, and rarities. Focusing primarily on gallery exhibits, they also host drink &amp; draw, product signings, and music events. Having exhibited both local artists and artists from abroad, and catering to an international customer base, we offer an extensive collection of original contemporary, illustrated, graphic, commercial, and narrative art.</t>
  </si>
  <si>
    <t xml:space="preserve">GalleristPDX@Gallerynucleus.com</t>
  </si>
  <si>
    <t xml:space="preserve">9/23rd</t>
  </si>
  <si>
    <t xml:space="preserve">emailed by Zuzu</t>
  </si>
  <si>
    <t xml:space="preserve">Art Design Exchange (coop) - event space, work coop, gallery, newsletter, networking hub for artists</t>
  </si>
  <si>
    <t xml:space="preserve">(female owned &amp; operated) Every decision we make is guided by our company values as we seek to leave a positive impact on the Portland creative community</t>
  </si>
  <si>
    <t xml:space="preserve">info@artdesignxchange.com</t>
  </si>
  <si>
    <t xml:space="preserve">Cathedral Coffee
https://cathedralcoffee.com/pages/the-cathedral-story</t>
  </si>
  <si>
    <t xml:space="preserve">located in North Portland near St. Johns, this café features graffiti-art walls, cozy library nooks, and a retro vibe</t>
  </si>
  <si>
    <t xml:space="preserve">DMed on 9/25
collab / package design</t>
  </si>
  <si>
    <t xml:space="preserve">@cathedralcoffee    </t>
  </si>
  <si>
    <t xml:space="preserve">Portland Street Art Alliance
https://www.pdxstreetart.org/
</t>
  </si>
  <si>
    <t xml:space="preserve">aritst commissions, education for youth and community events</t>
  </si>
  <si>
    <t xml:space="preserve">info@pdxstreetart.org</t>
  </si>
  <si>
    <t xml:space="preserve">Reached out multiple times
Let's try to set something up for 2026 
*****</t>
  </si>
  <si>
    <t xml:space="preserve">@portlandstreetartalliance</t>
  </si>
  <si>
    <t xml:space="preserve">Naked City Clothing
https://nakedcityclothing.com/</t>
  </si>
  <si>
    <t xml:space="preserve">has all the rave gear, side exterior wall looks like a possbility?</t>
  </si>
  <si>
    <t xml:space="preserve">customerservice@nakedcityclothing.com</t>
  </si>
  <si>
    <t xml:space="preserve">DMed on 9/25
</t>
  </si>
  <si>
    <t xml:space="preserve">@nakedcityclothing</t>
  </si>
  <si>
    <t xml:space="preserve">Altar 
https://www.altarpdx.com/pages/about-us</t>
  </si>
  <si>
    <t xml:space="preserve">We celebrate independent manufacturers and artists from across North America, with a focus on the stories that are woven into their work
**expensive but super cool 70's retro women's clothing, have their own line as well</t>
  </si>
  <si>
    <t xml:space="preserve">Owner/Designer- Cassie Ridgway
info@altarpdx.com</t>
  </si>
  <si>
    <t xml:space="preserve">@shop_altar</t>
  </si>
  <si>
    <t xml:space="preserve">Urban Kingdom (MLK)
https://myurbankingdom.com/</t>
  </si>
  <si>
    <t xml:space="preserve">screenprinting and other custom appearal in the vein, great exterior wall and about 1.5 miles from Alberta Arts District</t>
  </si>
  <si>
    <t xml:space="preserve">print@MyUrbanKingdom.com</t>
  </si>
  <si>
    <t xml:space="preserve">skip</t>
  </si>
  <si>
    <t xml:space="preserve">@theUKpdx  </t>
  </si>
  <si>
    <t xml:space="preserve">nothing</t>
  </si>
  <si>
    <t xml:space="preserve">Presents of Mind - novelity and gift shop
https://www.presentsofmind.tv/about-presentsofmind-gifts</t>
  </si>
  <si>
    <t xml:space="preserve">Since 1989 we have continued to pursue the latest and greatest, the classic and trendy, and all things cool. We are constantly on the prowl for new and unique items and dedicated to carrying &amp; supporting local and independent designers, and companies that use environmentally friendly products.</t>
  </si>
  <si>
    <t xml:space="preserve">presentsofmind.tv@hotmail.com
pomweborders@gmail.com</t>
  </si>
  <si>
    <t xml:space="preserve">Dmed 9/25</t>
  </si>
  <si>
    <t xml:space="preserve">@presentsofmind</t>
  </si>
  <si>
    <t xml:space="preserve">Red Light Clothing Exch
https://shopredlight.com/</t>
  </si>
  <si>
    <t xml:space="preserve">great exterior wall as well, on corner of the street in Hawthorne district</t>
  </si>
  <si>
    <t xml:space="preserve">@theredlightpdx</t>
  </si>
  <si>
    <t xml:space="preserve">Hair of the Dog Brewing
https://hairofthedog.com/our-story/</t>
  </si>
  <si>
    <t xml:space="preserve">the starting point for the Portland Street Art Hike / Walk</t>
  </si>
  <si>
    <t xml:space="preserve">info@hairofthedog.com</t>
  </si>
  <si>
    <t xml:space="preserve">@hairofthedogbrewing</t>
  </si>
  <si>
    <t xml:space="preserve">Montavilla Brew Works
https://montavillabrew.com/</t>
  </si>
  <si>
    <t xml:space="preserve">nothing on their exterior walls; they get good reviews as a business.  Super dude heavy so the building looks like a bachlor pad...IDK if they would be into the color but they could use some style</t>
  </si>
  <si>
    <t xml:space="preserve">website has a portal and they have FB not IG.  Michael Kora is Montavilla Brew Works’ Head Brewer and Founder. Born in raised in Metro Detroit, Michigan, Michael’s background is in Music Performance and Composition'</t>
  </si>
  <si>
    <t xml:space="preserve">FB is fairly active and they clearly do a lot of music in their biergarten</t>
  </si>
  <si>
    <t xml:space="preserve">Patron of the arts in Portland, Ronni Lacroute</t>
  </si>
  <si>
    <t xml:space="preserve">she has devoted her life to philanthropy, investing in the city’s arts community through her patronage and guidance. “I’m interested in more than just beautifully made artistic performances,” she says. “I want to see that it has an impact on the community that brings people together [and] helps people develop empathy for folks who aren’t like ourselves.”</t>
  </si>
  <si>
    <t xml:space="preserve">Wieden+Kennedy
wk.com</t>
  </si>
  <si>
    <t xml:space="preserve">Portland location for international marketing agency with BIG name collaborators and clients, similiar to Nemo.</t>
  </si>
  <si>
    <t xml:space="preserve">info@wk.com 
PR: theresa.collins@wk.com
Media:  mary.normand@wk.com
Educational partnerships:  jobs.portland@wk.com</t>
  </si>
  <si>
    <t xml:space="preserve">@wiedenKennedy</t>
  </si>
  <si>
    <t xml:space="preserve">R West - marketing, digital, brand, social, creative, media, PR</t>
  </si>
  <si>
    <t xml:space="preserve">from their site. 'We’d love to craft your narrative and sell your story...Sell your brand by creating a call to action narrative and fill it with rich on-line and off-line content'</t>
  </si>
  <si>
    <t xml:space="preserve">website portal:  https://www.rwest.com/contact/</t>
  </si>
  <si>
    <t xml:space="preserve">@rwestmktg</t>
  </si>
  <si>
    <t xml:space="preserve">Watson Creative</t>
  </si>
  <si>
    <t xml:space="preserve">From Portland to Bend, Seattle to Sausalito—our teams are spread across the West Coast, nestled between forests, surf breaks, and the occasional volcano. The kind of landscape that fuels bold ideas and creative mischief.</t>
  </si>
  <si>
    <t xml:space="preserve">hello@watsoncreative.com</t>
  </si>
  <si>
    <t xml:space="preserve">@watsoncreative</t>
  </si>
  <si>
    <t xml:space="preserve">Robert Ham; influencer, art critic, journalist</t>
  </si>
  <si>
    <t xml:space="preserve">Robert Ham is a Portland-based freelance arts critic and journalist. His work has been published in the pages of Village Voice, Rolling Stone, The Oregonian, and Pitchfork. He's also the producer of Double Bummer, on XRAY every Tuesday night at 11pm.</t>
  </si>
  <si>
    <t xml:space="preserve">Elizabeth Leach, owner of gallery</t>
  </si>
  <si>
    <t xml:space="preserve">Elizabeth Leach Gallery has continued its think-big philosophy of championing Portland’s art scene, expanding its reach with nationally known artists.</t>
  </si>
  <si>
    <t xml:space="preserve">art@elizabethleach.com</t>
  </si>
  <si>
    <t xml:space="preserve">@elizabethleachgallery</t>
  </si>
  <si>
    <t xml:space="preserve">James F. and Marion L. Miller Foundation</t>
  </si>
  <si>
    <t xml:space="preserve">the mission to enhance the quality of life of Oregonians through the support of classroom education and the performing, visual, and literary arts.</t>
  </si>
  <si>
    <t xml:space="preserve">can't find a working link on their website.  Exe Director is Carrie Hoops</t>
  </si>
  <si>
    <t xml:space="preserve">@millerfound</t>
  </si>
  <si>
    <t xml:space="preserve">Tillamook Creamery
https://www.tillamook.com/</t>
  </si>
  <si>
    <t xml:space="preserve">Money machine! and could use some art</t>
  </si>
  <si>
    <t xml:space="preserve">503-815-1300 (Monday - Friday)
no email on their site, website portal
Kate Boltin is the Senior Vice President of Brand and Marketing at Tillamook. Leo Burnett its creative agency of record</t>
  </si>
  <si>
    <t xml:space="preserve">@tillamook</t>
  </si>
  <si>
    <t xml:space="preserve">Leo Burnett, Creative Agency</t>
  </si>
  <si>
    <t xml:space="preserve">In January 2025, Publicis Groupe announced a major restructuring that merges the Leo Burnett and Publicis Worldwide creative networks into a single, combined entity named "Leo."</t>
  </si>
  <si>
    <t xml:space="preserve">creative side of the business, your best option is still to reach out to the contacts at the main Leo office in Chicago, as they handle the creative accounts for clients like Tillamook.</t>
  </si>
  <si>
    <t xml:space="preserve">Grove Made
https://grovemade.com/about</t>
  </si>
  <si>
    <t xml:space="preserve">Grovemade is headquartered in a 8400 ft2 former casket factory originally built in 1922. We are lucky to be in a quiet residential neighborhood across the street from one of the premier parks in Portland  *Great follower # on IG, cool business, exterior walls are blank but not in a busy foot traffic area</t>
  </si>
  <si>
    <t xml:space="preserve">KEN TOMITA, Co-Founder and Head of Product.  Do not see an email or portal on site; 6524 N Albina Aveortland, Oregon 97217
(971) 206.6606</t>
  </si>
  <si>
    <t xml:space="preserve">@grovemade</t>
  </si>
  <si>
    <t xml:space="preserve">Portland Garment Factory
https://www.portlandgarmentfactory.com/our-programs</t>
  </si>
  <si>
    <t xml:space="preserve">big cool builidng but walls are not suitable. As a full-service creative design and fabrication studio, we lead with heart. It's evident in our mission statement and with every soft-good, innovation, design, and fabrication project we take on. We create work with great intention and care. We are deeply committed to ethical labor practices and environmental sustainability while building connection, collaboration, and respect with every client partnership — hence, calling ourselves a Creative Factory.
Before sharing more about your project, please explore our business ethos, past projects, and services, as we're looking for brands, projects, and collaborations that match our "lead from the heart" grit</t>
  </si>
  <si>
    <t xml:space="preserve">hello@portlandgarmentfactory.com</t>
  </si>
  <si>
    <t xml:space="preserve">@portlandgarmentfactory</t>
  </si>
  <si>
    <t xml:space="preserve">Brew Dr Kombucha
https://www.brewdrkombucha.com/about-us
</t>
  </si>
  <si>
    <t xml:space="preserve">HQ address: 2222 NE Oregon St, Ste 109, Portland, OR 97232 can't see the exterior of the building though.  Their site shows all the retails shops to find their products</t>
  </si>
  <si>
    <t xml:space="preserve">website portal for contact.  Owner is Matt has been a "tea entrepreneur" since 2003, and founded Brew Dr. in 2008. In addition to his role on the board, he continues to be active in the business, working on strategy and new flavor development</t>
  </si>
  <si>
    <t xml:space="preserve">@Brewdr</t>
  </si>
  <si>
    <t xml:space="preserve">Holocene Portland, venue
https://www.holocene.org/</t>
  </si>
  <si>
    <t xml:space="preserve">good wall, busy street.  In our first two decades, Holocene has hosted a huge range of events — from house and techno parties with legendary DJs, to a universe of vibrant Portland bands, to modern indie stars from around the world, to R&amp;B and hip-hop icons.</t>
  </si>
  <si>
    <t xml:space="preserve">hc@holocene.org</t>
  </si>
  <si>
    <t xml:space="preserve">@holoceneportland</t>
  </si>
  <si>
    <t xml:space="preserve">Pear Works, Non Profit
https://www.pearmentor.org/who-we-are/</t>
  </si>
  <si>
    <t xml:space="preserve">Coffee shop, gallery &amp; youth outreach.  Brick walls though.
p:ear builds positive relationships with homeless youth through education, art, recreation and job training to affirm personal worth and create more meaningful and healthier lives. Since opening in 2002, we’ve enrolled more than 5,250 young people in our programs and grown to serve more than 800 people aged 15-25 each year.</t>
  </si>
  <si>
    <t xml:space="preserve">info@pearmentor.org</t>
  </si>
  <si>
    <t xml:space="preserve">@pearmentor</t>
  </si>
  <si>
    <t xml:space="preserve">East Creative PDX (non profit)
http://eastcreativepdx.org/</t>
  </si>
  <si>
    <t xml:space="preserve">building and area is cool lots of general graffiti. not sure the building itself has space for a mural though - a lot of windows
Artist Collective in SE Portland; East Creative hoslds monthly open studios and regular public events featuring both East Collective members and outside artists.</t>
  </si>
  <si>
    <t xml:space="preserve">Info@Eastcreativepdx.org</t>
  </si>
  <si>
    <t xml:space="preserve">@eastcreativepdx</t>
  </si>
  <si>
    <t xml:space="preserve">Kinship - work space for makers
https://kinshippdx.com/</t>
  </si>
  <si>
    <t xml:space="preserve">It’s a lively environment made for people who feel energized by being surrounded by other creatives doing their thing.  *Check out the neighborhood, all warehouse but there is a heavy tagged up food truck court nearby that looks cool</t>
  </si>
  <si>
    <t xml:space="preserve">no contact besides for booking space on website, DM through IG </t>
  </si>
  <si>
    <t xml:space="preserve">@kinship_pdx</t>
  </si>
  <si>
    <t xml:space="preserve">O' Riley's Auto Parts on MLK location
5212 NE Martin Luther King Jr Blvd</t>
  </si>
  <si>
    <t xml:space="preserve">P.A.C.E 
4829 NE Martin Luther King Blvd</t>
  </si>
  <si>
    <t xml:space="preserve">physical therapy business with huge wall
TONS of locations in OR, WA and in Boise, ID btw</t>
  </si>
  <si>
    <t xml:space="preserve">@therapeuticassociatespt</t>
  </si>
  <si>
    <t xml:space="preserve">Portland Transmission Warehouse
</t>
  </si>
  <si>
    <t xml:space="preserve">big wall; tons of vintage / low riders in all the photos
1016 SE Hawthorne Blvd
</t>
  </si>
  <si>
    <t xml:space="preserve">sales@portlandtrans.com</t>
  </si>
  <si>
    <t xml:space="preserve">NO Instagram link</t>
  </si>
  <si>
    <t xml:space="preserve">Grand Central Bakery
https://www.grandcentralbakery.com/hawthorne</t>
  </si>
  <si>
    <t xml:space="preserve">We aim to run our business in a way that is sustainable and makes a positive impact on the world. In 2018 Grand Central Bakery became a Certified B Corporation, becoming the first bakery in the Pacific Northwest to achieve this distinction. B Corporations meet the highest standards of verified social and environmental performance, public transparency, and legal accountability to balance profit and purpose.</t>
  </si>
  <si>
    <t xml:space="preserve">website portal only.  Multiple locations in OR and 4 in Seattle area</t>
  </si>
  <si>
    <t xml:space="preserve">@grandcentralbakery</t>
  </si>
  <si>
    <t xml:space="preserve">Champagne Poetry 
https://www.champagnepoetry.biz/</t>
  </si>
  <si>
    <t xml:space="preserve">Pink wall (pink everything!)
Our head Chef and sole-owner, Dan Bian, combines her Parisian Asian culinary expertise with deep passion for Asian fusion food and wine, now serving the Portland community. With training from esteemed patisserie legends Cedric Grolet and Johan Martin, Dan’s commitment to excellence is evident in every product. </t>
  </si>
  <si>
    <t xml:space="preserve">champagnepoetry@info.biz</t>
  </si>
  <si>
    <t xml:space="preserve">@champagnepoetry_pdx</t>
  </si>
  <si>
    <t xml:space="preserve">House of Vintage
</t>
  </si>
  <si>
    <t xml:space="preserve">large gray walls</t>
  </si>
  <si>
    <t xml:space="preserve">3315 SE Hawthorne Blvd</t>
  </si>
  <si>
    <t xml:space="preserve">@houseofvintagepdx</t>
  </si>
  <si>
    <t xml:space="preserve">Ringcraft Muay Thai gym
https://www.ringcraftmuaythai.com/#about</t>
  </si>
  <si>
    <t xml:space="preserve">great wall on the side street, 42nd str</t>
  </si>
  <si>
    <t xml:space="preserve">info@ringcraftmuaythai.com</t>
  </si>
  <si>
    <t xml:space="preserve">@ringcraftmuaythai</t>
  </si>
  <si>
    <t xml:space="preserve">Barber-Q multiple locations
https://barberqbarbershop.com/
</t>
  </si>
  <si>
    <t xml:space="preserve">This location has gray wrap around walls, 4136 SE Hawthorne Blvd</t>
  </si>
  <si>
    <t xml:space="preserve">website portal and not much for IG acct</t>
  </si>
  <si>
    <t xml:space="preserve">https://www.instagram.com/barberq_portland/#</t>
  </si>
  <si>
    <t xml:space="preserve">The Whole Bowl, multiple locations
https://thewholebowl.com/</t>
  </si>
  <si>
    <t xml:space="preserve">BIG Catering business means big reach</t>
  </si>
  <si>
    <t xml:space="preserve">4526 SE Hawthorne
971-334-8010</t>
  </si>
  <si>
    <t xml:space="preserve">@eathewholebowl</t>
  </si>
  <si>
    <t xml:space="preserve">Oh Paws, pet grooming</t>
  </si>
  <si>
    <t xml:space="preserve">4717 SE Belmont St
jonesdogs@gmail.com</t>
  </si>
  <si>
    <t xml:space="preserve">@ohpawspdx</t>
  </si>
  <si>
    <t xml:space="preserve">Cooke's Brake Service
https://cookesbrakes.com/</t>
  </si>
  <si>
    <t xml:space="preserve">Since 1935, Cooke’s Brake Service’s business model remains the same: Do what's best for the customer, communicate clearly, never sell unneeded parts or service, and deliver when promised. Founder Harold Cooke</t>
  </si>
  <si>
    <t xml:space="preserve">brademandan@comcast.net
info@cookesbrakes.com</t>
  </si>
  <si>
    <t xml:space="preserve">NO Instagram link
FB:  https://www.facebook.com/profile.php?id=100040569470884&amp;rf=168278289855767#</t>
  </si>
  <si>
    <t xml:space="preserve">Aalto Lounge
https://www.aaltolounge.com/</t>
  </si>
  <si>
    <t xml:space="preserve">Aalto Lounge is a neighborhood bar proudly serving the Belmont area since 2000. Named for Finnish designer, Alvar Aalto, the space features mid-century/modern decor throughout the bar, adjoining back room, and outdoor patio</t>
  </si>
  <si>
    <t xml:space="preserve">3356 SE Belmont St
aaltolounge@gmail.com</t>
  </si>
  <si>
    <t xml:space="preserve">@aaltolounge</t>
  </si>
  <si>
    <t xml:space="preserve">Kiln 
https://kiln.com/communities/portland/</t>
  </si>
  <si>
    <t xml:space="preserve">co working space, back wall currently has a mural.
Kiln Portland merges work and lifestyle, enhances performance, and inspires creativity in its members. The 36,000 sq ft facility is located in Southeast Portland, off the iconic Hawthorne Blvd</t>
  </si>
  <si>
    <t xml:space="preserve">1120 SE Madison St, but has multiple locations </t>
  </si>
  <si>
    <t xml:space="preserve">@kiln.co</t>
  </si>
  <si>
    <t xml:space="preserve">Weird Portland United Non Profit
https://www.weirdportlandunited.org/</t>
  </si>
  <si>
    <t xml:space="preserve">Weird Portland United (WPU) is a 501(c)(3) that discovers, promotes, and nurtures the creators and risk-takers that Keep Portland Weird. In the face of rapid change, we protect and lead Portland’s culture so that all Portlanders, from natives to newcomers, can contribute to our city’s now-famous culture of weird. By bringing those together who similarly dream of a weirder tomorrow, we find Portland voices that otherwise may have gone tragically unheard.</t>
  </si>
  <si>
    <t xml:space="preserve">Brian “The Unipiper” Kidd – Founder
Dresden De Vera – Social Media Manager</t>
  </si>
  <si>
    <t xml:space="preserve">@weirdportlandunited</t>
  </si>
  <si>
    <t xml:space="preserve">Cone and Steiner grocer </t>
  </si>
  <si>
    <t xml:space="preserve">in kind food or sponsorship, local small grocer</t>
  </si>
  <si>
    <t xml:space="preserve">@coneandsteiner</t>
  </si>
  <si>
    <t xml:space="preserve">9,200 followers</t>
  </si>
  <si>
    <t xml:space="preserve">The Birdhouse Cafe
https://thebirdhousews.com/</t>
  </si>
  <si>
    <t xml:space="preserve">really f'in cute place.  in kind food or sponsorship, local small grocer &amp; espcialize in RTE foods / catering</t>
  </si>
  <si>
    <t xml:space="preserve">thebirdhouse@fremannfoods.com</t>
  </si>
  <si>
    <t xml:space="preserve">@thebirdhousews</t>
  </si>
  <si>
    <t xml:space="preserve">1,500 followers</t>
  </si>
  <si>
    <t xml:space="preserve">Fremann Foods</t>
  </si>
  <si>
    <t xml:space="preserve">same ppl - owners of Birdhouse Cafe</t>
  </si>
  <si>
    <t xml:space="preserve">info@fremannfoods.com</t>
  </si>
  <si>
    <t xml:space="preserve">responded requesting more info, did not have budget to continue a conversation</t>
  </si>
  <si>
    <t xml:space="preserve">Easy Street Records and Cafe
https://easystreetonline.com/</t>
  </si>
  <si>
    <t xml:space="preserve">popular local, records plus a cafe pretty cool business</t>
  </si>
  <si>
    <t xml:space="preserve">info@easystreetonline.com</t>
  </si>
  <si>
    <t xml:space="preserve">@easystreetrecords</t>
  </si>
  <si>
    <t xml:space="preserve">153k followers</t>
  </si>
  <si>
    <t xml:space="preserve">Base Camp Studios
https://www.basecamp206.com/</t>
  </si>
  <si>
    <t xml:space="preserve">Our mission is to provide inclusive, affordable, and inspiring spaces where Seattle-based creatives can work, connect, and grow in community. By fostering collaboration and visibility, BCS aims to help revitalize the downtown core with creative and strengthen the city’s wider arts ecosystem—making space not just for art, but for community.</t>
  </si>
  <si>
    <t xml:space="preserve">nick@basecamp206.com</t>
  </si>
  <si>
    <t xml:space="preserve">6/12/2025 &amp; 8/1st</t>
  </si>
  <si>
    <t xml:space="preserve">asked for more info through IG, then ghosted.  Resent email 10/18</t>
  </si>
  <si>
    <t xml:space="preserve">@base.camp.studios</t>
  </si>
  <si>
    <t xml:space="preserve">9,300 followers</t>
  </si>
  <si>
    <t xml:space="preserve">In conversation</t>
  </si>
  <si>
    <t xml:space="preserve">The Pine Street Group; Developer behind Pacific Place and Seattle Convention Center
</t>
  </si>
  <si>
    <t xml:space="preserve">Art Focus: Has commissioned murals and public art to support civic redevelopment. Potential: Could align mural work with development projects or art-forward spaces.</t>
  </si>
  <si>
    <t xml:space="preserve">4Culture -</t>
  </si>
  <si>
    <t xml:space="preserve"> funding in King county and their site says they connect businesses who want murals and other forms of public art with artists </t>
  </si>
  <si>
    <t xml:space="preserve">hello@4culture.org</t>
  </si>
  <si>
    <t xml:space="preserve">6/19 and 7/5th</t>
  </si>
  <si>
    <t xml:space="preserve">Tableau Software</t>
  </si>
  <si>
    <t xml:space="preserve">tech - money?</t>
  </si>
  <si>
    <t xml:space="preserve">pr@tableau.com   </t>
  </si>
  <si>
    <t xml:space="preserve">6/23rd</t>
  </si>
  <si>
    <t xml:space="preserve">Urban Vision Real Estate, </t>
  </si>
  <si>
    <t xml:space="preserve">Known for thoughtful, creative placemaking</t>
  </si>
  <si>
    <t xml:space="preserve">Info@urbanvision.com</t>
  </si>
  <si>
    <t xml:space="preserve">Vulcan Real Estate development and branding;</t>
  </si>
  <si>
    <t xml:space="preserve"> Deeply involved in South Lake Union development and art support</t>
  </si>
  <si>
    <t xml:space="preserve">info@vulcanrealestate.com</t>
  </si>
  <si>
    <t xml:space="preserve">Sub Pop Records</t>
  </si>
  <si>
    <t xml:space="preserve">obvi a major brand out of Seattle</t>
  </si>
  <si>
    <t xml:space="preserve">info@ and press@ subpop.com</t>
  </si>
  <si>
    <t xml:space="preserve">Uncage the Soul Video Production company</t>
  </si>
  <si>
    <t xml:space="preserve">alignment in style</t>
  </si>
  <si>
    <t xml:space="preserve">6/24th</t>
  </si>
  <si>
    <t xml:space="preserve">Hero Creative
https://www.herocreative.com/</t>
  </si>
  <si>
    <t xml:space="preserve">digital branding creative</t>
  </si>
  <si>
    <t xml:space="preserve">info@; website portal</t>
  </si>
  <si>
    <t xml:space="preserve">7/3rd</t>
  </si>
  <si>
    <t xml:space="preserve">Seattle Artist League Art for Youth Program</t>
  </si>
  <si>
    <t xml:space="preserve">contact@seattleartistleague.com</t>
  </si>
  <si>
    <t xml:space="preserve">Craft Lab Studio</t>
  </si>
  <si>
    <t xml:space="preserve">LauraDuris@Craftlabseattle.com</t>
  </si>
  <si>
    <t xml:space="preserve">Push/Pull 
https://www.pushpullseattle.com/</t>
  </si>
  <si>
    <t xml:space="preserve">"underground' comics/ art supply.classes, events</t>
  </si>
  <si>
    <t xml:space="preserve">info@pushpullseattle.com</t>
  </si>
  <si>
    <t xml:space="preserve">2nd email by Zuzu 9/23rd and they responded for more information</t>
  </si>
  <si>
    <t xml:space="preserve">@pushpullseattle</t>
  </si>
  <si>
    <t xml:space="preserve">7400 followers</t>
  </si>
  <si>
    <t xml:space="preserve">Richmark Label
https://richmarklabel.com/</t>
  </si>
  <si>
    <t xml:space="preserve"> their building is covered of murals and they make lables for various brands (done by Urban ArtWorks)</t>
  </si>
  <si>
    <t xml:space="preserve">info@richmarklabel.com</t>
  </si>
  <si>
    <t xml:space="preserve">Urban Artworks
https://urbanartworks.org/</t>
  </si>
  <si>
    <t xml:space="preserve">Urban ArtWorks’ mission is to engage youth, artists, and communities in the creation of public art that inspires connections and honors their voices.</t>
  </si>
  <si>
    <t xml:space="preserve">Zuzu met Vivian.  She will share on socials!!</t>
  </si>
  <si>
    <t xml:space="preserve">IG DM 7/3rd </t>
  </si>
  <si>
    <t xml:space="preserve">@urbanartworks</t>
  </si>
  <si>
    <t xml:space="preserve">9800 followers</t>
  </si>
  <si>
    <t xml:space="preserve">Sound Credit Union</t>
  </si>
  <si>
    <t xml:space="preserve">all over Washington state</t>
  </si>
  <si>
    <t xml:space="preserve">Outdoor Research Apparrel</t>
  </si>
  <si>
    <t xml:space="preserve">Big Seattle retailer &amp; building; Owner, Ron Gregg, led a function-forward approach to creating solutions that allowed people to explore the outdoors with the best protection against the elements. Today, we still manufacture, sell, and earn awards for these same products year after year.</t>
  </si>
  <si>
    <t xml:space="preserve">@outdoorresearch</t>
  </si>
  <si>
    <t xml:space="preserve">497k followers</t>
  </si>
  <si>
    <t xml:space="preserve">Fogue Studio &amp; Gallery
https://foguestudios.com/</t>
  </si>
  <si>
    <t xml:space="preserve">Seattle's SoDo District, gallery/studio host events it looks like.  Big blank exterior walls as well</t>
  </si>
  <si>
    <t xml:space="preserve">info@foguestudios.com</t>
  </si>
  <si>
    <t xml:space="preserve">@foguestudio</t>
  </si>
  <si>
    <t xml:space="preserve">3475 followers</t>
  </si>
  <si>
    <t xml:space="preserve">Fantagraphics
https://www.fantagraphics.com/pages/about-fantagraphics</t>
  </si>
  <si>
    <t xml:space="preserve">Seattle's SoDo District; published the very best comics and graphic novels that the medium has to offer. Our mission is to celebrate great cartooning in all of its incarnations, from the form’s early luminaries to contemporary artists currently forging the future of visual storytelling.</t>
  </si>
  <si>
    <t xml:space="preserve">Instagram, no email on site but there is a website portal</t>
  </si>
  <si>
    <t xml:space="preserve">@fantagraphcs</t>
  </si>
  <si>
    <t xml:space="preserve">98.3k followers</t>
  </si>
  <si>
    <t xml:space="preserve">House of Smith / very cool winery and tasting room with events in SoDo</t>
  </si>
  <si>
    <t xml:space="preserve">Seattle's SoDo District; great origin story.  Alternative style and space</t>
  </si>
  <si>
    <t xml:space="preserve">@houseofsmithwines</t>
  </si>
  <si>
    <t xml:space="preserve">13.7k follwers</t>
  </si>
  <si>
    <t xml:space="preserve">LIT Immersive
https://litimmersive.com/</t>
  </si>
  <si>
    <t xml:space="preserve">Seattle's SoDo District; across from Lumen Stadium, pre event venue.  Brick building on the corner</t>
  </si>
  <si>
    <t xml:space="preserve">@litimmersive</t>
  </si>
  <si>
    <t xml:space="preserve">1700 followers</t>
  </si>
  <si>
    <t xml:space="preserve">PCC Community Markets</t>
  </si>
  <si>
    <t xml:space="preserve">requested in kind donation using their donation portal</t>
  </si>
  <si>
    <t xml:space="preserve">Laura Weinstein Therapy; Youth Art Therapist</t>
  </si>
  <si>
    <t xml:space="preserve">works with young ppl and art - sounds amazing and your message would be perfect</t>
  </si>
  <si>
    <t xml:space="preserve">website portal is the only access/ contact.  Filled it out</t>
  </si>
  <si>
    <t xml:space="preserve">Broadway Neighborhood businesses below in PINK</t>
  </si>
  <si>
    <t xml:space="preserve">Seattle's Broadway area is a vibrant, bustling six-block commercial strip on Broadway Avenue East in the Capitol Hill neighborhood, known for its diverse shops, restaurants, nightlife, and arts scene. It is a central hub for the city, historically a center for the LGBTQ+ community and now a lively, youthful, and inclusive area with a mix of historic and modern architecture</t>
  </si>
  <si>
    <t xml:space="preserve">Aveda Arts &amp; Sciences Institute Seattle, 802 E Pike St, Seattle, WA 98122</t>
  </si>
  <si>
    <t xml:space="preserve">has a tag, great wall
Aveda's broader network supports initiatives like the #BeautyHeals program, which honors and shares stories of Aveda Artists' philanthropic local community efforts. This program encourages artists to find causes aligned with Aveda’s mission and share their stories, fostering a ripple effect of community engagement</t>
  </si>
  <si>
    <t xml:space="preserve">admission email only on website.  ChatGPT isn't much help either
If you're interested in connecting with the Community Coordinator or learning more about community outreach opportunities at the Seattle campus, you can reach out directly to the institute's admissions team at (206) 302-1044
seattleadmissions@avedaarts.edu</t>
  </si>
  <si>
    <t xml:space="preserve">@avedaarts
206-302-1044</t>
  </si>
  <si>
    <t xml:space="preserve">30.8k followers</t>
  </si>
  <si>
    <t xml:space="preserve">Soma Kombucha tap room
701 E Pike St, Seattle</t>
  </si>
  <si>
    <t xml:space="preserve">great wall has a tag on it.  Multiple locations in PNW
The store is 'unstaffed' you use a series of QR codes and self check out machines.</t>
  </si>
  <si>
    <t xml:space="preserve">info@somakombucha
jwalsh@cadencere.com</t>
  </si>
  <si>
    <t xml:space="preserve">dmed </t>
  </si>
  <si>
    <t xml:space="preserve">@somakombucha</t>
  </si>
  <si>
    <t xml:space="preserve">Perkins Glass and Mirror.  According to the internet:
Perkins Glass and Mirror is no longer in Seattle's Capitol Hill, as it moved in January 2025 to a new location at 2737 1st Ave S, Seattle</t>
  </si>
  <si>
    <t xml:space="preserve">The Captial Hill building might be vacant now</t>
  </si>
  <si>
    <t xml:space="preserve">email@perkinsglassseattle.com</t>
  </si>
  <si>
    <t xml:space="preserve">Corvus Cocktail Lounge
https://www.corvusandcompany.com/</t>
  </si>
  <si>
    <t xml:space="preserve">brick wall
Lively bar with creative artwork turning out inventive craft drinks &amp; Asian street food</t>
  </si>
  <si>
    <t xml:space="preserve">the vision of owners / bartenders Paul Berryman and Izzy Guymon.
Try:  berryman.paul@gmail.com</t>
  </si>
  <si>
    <t xml:space="preserve">emailed</t>
  </si>
  <si>
    <t xml:space="preserve">@corvusandco</t>
  </si>
  <si>
    <t xml:space="preserve">3,300 followers</t>
  </si>
  <si>
    <t xml:space="preserve">The Vajra Metaphysical Store
https://www.thevajra.com/
https://www.savagecitizens.com/</t>
  </si>
  <si>
    <t xml:space="preserve">roll up corrugated door
a well-established metaphysical store located at 518 Broadway E, Seattle, WA 98102. Since 1989, it has been a cherished destination for those seeking spiritual and wellness products</t>
  </si>
  <si>
    <t xml:space="preserve">owned and managed by Rachael Savage.  More info on her is on her Savage Citizen's website for her polical run recently: director@savageforseattle.com</t>
  </si>
  <si>
    <t xml:space="preserve">@thevajraseattle</t>
  </si>
  <si>
    <t xml:space="preserve">7,800 followers</t>
  </si>
  <si>
    <t xml:space="preserve">Mitchell Activity Center (MAC)</t>
  </si>
  <si>
    <t xml:space="preserve">big building</t>
  </si>
  <si>
    <t xml:space="preserve">If your mural project involves community engagement or educational components, you might also consider contacting Michelle McBreen at michelle.mcbreen@seattlecolleges.edu.
(206) 934-5488
Associate Director of Community Relations.  She coordinates volunteer opportunities and community involvement at Seattle Central College. Her role could facilitate connections with students and faculty interested in participating.
 </t>
  </si>
  <si>
    <t xml:space="preserve">Belmont Lounge
518 E. Pike Street</t>
  </si>
  <si>
    <t xml:space="preserve">tagged walls, just need to move trash cans</t>
  </si>
  <si>
    <t xml:space="preserve">email is through a website portal or it says FYI, texting will likely get the fastest response: 206.557.0733
Owner: Mark Brown - has a strong marketing / branding background according to LinkedIn
https://www.linkedin.com/in/mark-brown-b562422?lipi=urn%3Ali%3Apage%3Ad_flagship3_profile_view_base_contact_details%3BSEcCs3RgQRuyw0HqLNtaRQ%3D%3D</t>
  </si>
  <si>
    <t xml:space="preserve">Text</t>
  </si>
  <si>
    <t xml:space="preserve">texted; they responded and said they have a great brick wall on 10/22</t>
  </si>
  <si>
    <t xml:space="preserve">No social media accounts noted on their website at all</t>
  </si>
  <si>
    <t xml:space="preserve">Roxy's Diner
N 36th street</t>
  </si>
  <si>
    <t xml:space="preserve">cover half graff wall - billoard dimensions</t>
  </si>
  <si>
    <t xml:space="preserve">permanently closed</t>
  </si>
  <si>
    <t xml:space="preserve">Fremont Sudios
155 N 35th St, Seattle, WA</t>
  </si>
  <si>
    <t xml:space="preserve">massive walls, full video studio and event / catering space</t>
  </si>
  <si>
    <t xml:space="preserve">https://www.fremontstudios.com/
Scott Jonas, President / CEO
sjonas@fremontstudios.com
Brain Barnett, VP / COO
barnett@fremontstudios.com</t>
  </si>
  <si>
    <t xml:space="preserve">No social media account links on website</t>
  </si>
  <si>
    <t xml:space="preserve">Moonlight Hookah Lounge
110 N 36th St, Seattle, WA </t>
  </si>
  <si>
    <t xml:space="preserve">no website, only IG</t>
  </si>
  <si>
    <t xml:space="preserve">dmed</t>
  </si>
  <si>
    <t xml:space="preserve">@moonlighthookahlounge </t>
  </si>
  <si>
    <t xml:space="preserve">1500 Followers</t>
  </si>
  <si>
    <t xml:space="preserve">Vital Vegan Bistro
3601 Fremont Ave N Suite 207</t>
  </si>
  <si>
    <t xml:space="preserve">Owner, Chris, super nice wants to collab when in Seattle</t>
  </si>
  <si>
    <t xml:space="preserve">Owner, Chris
vitalcreationsveganbistro@gmail.com
https://vitalcreationsveganbistro.com/</t>
  </si>
  <si>
    <t xml:space="preserve">KEEP FOR EVENT</t>
  </si>
  <si>
    <t xml:space="preserve">@eatvitalvegan</t>
  </si>
  <si>
    <t xml:space="preserve">&lt;100 followers; just joined IG in May of this year (2025)</t>
  </si>
  <si>
    <t xml:space="preserve">Physic Journey + Sinbad Express Rest / Vegan
3526 Fremont Pl N, Seattle</t>
  </si>
  <si>
    <t xml:space="preserve">great side brick wall, multiple businesses in that building</t>
  </si>
  <si>
    <t xml:space="preserve">only IG for Physic Journey
and for Sindab, only an ordering webiste
https://www.sinbadexpresswa.com/order</t>
  </si>
  <si>
    <t xml:space="preserve">@journeypsychic</t>
  </si>
  <si>
    <t xml:space="preserve">&lt;100 followers.   </t>
  </si>
  <si>
    <t xml:space="preserve">Meesha
127 N 36th St, Seattle</t>
  </si>
  <si>
    <t xml:space="preserve">side wall into garage, restaurant and catering business; great IG Following</t>
  </si>
  <si>
    <t xml:space="preserve">info@meeshaforyou.com</t>
  </si>
  <si>
    <t xml:space="preserve">@meeshaforyou</t>
  </si>
  <si>
    <t xml:space="preserve">17.9k followers !! WOW surprising</t>
  </si>
  <si>
    <t xml:space="preserve">@_warmsprings</t>
  </si>
  <si>
    <t xml:space="preserve">Wall looks like shit, has been tagged - dope 4b's</t>
  </si>
  <si>
    <t xml:space="preserve">Miller Paint - Georgetown is the one in Fremonth zip code
6101 Airport Way S, Seattle, WA 98108</t>
  </si>
  <si>
    <t xml:space="preserve">big blank walls</t>
  </si>
  <si>
    <t xml:space="preserve">Store manager is: Joshua Knudson
no email provided</t>
  </si>
  <si>
    <t xml:space="preserve">hold until second round of reach out</t>
  </si>
  <si>
    <t xml:space="preserve">Fremont Foundary, Event space </t>
  </si>
  <si>
    <t xml:space="preserve">in the neighborhood big warehouse looking / model space with indoor and outdoor aspects. Large concrete walls, blank.  One mural inside already</t>
  </si>
  <si>
    <t xml:space="preserve">managed / owned by Landmark Event Co. with multiple locations
info@landmarkeventco.com</t>
  </si>
  <si>
    <t xml:space="preserve">@landmarkeventco</t>
  </si>
  <si>
    <t xml:space="preserve">3300 followers - not much needs more!  Maybe we can appeal to that</t>
  </si>
  <si>
    <t xml:space="preserve">Soft Goods, Vintage store
4905 LEARY AVE NW</t>
  </si>
  <si>
    <t xml:space="preserve">It's got a blank side wall that just has a banner on it now</t>
  </si>
  <si>
    <t xml:space="preserve">@softgoods.us</t>
  </si>
  <si>
    <t xml:space="preserve">less than 1,000 just started IG acct in May of 2025 </t>
  </si>
  <si>
    <t xml:space="preserve">Eye Clinics of Seattle 
Shop on NW Market
2201 NW Market St</t>
  </si>
  <si>
    <t xml:space="preserve">corner spot, Large boarded up window on 22nd street side</t>
  </si>
  <si>
    <t xml:space="preserve">https://www.ecseattle.com/
Can't see a direct email.  But here is that locations Office Manager's Matthew
Office Manager / Billing Specialist - Ballard</t>
  </si>
  <si>
    <t xml:space="preserve">@esseattle</t>
  </si>
  <si>
    <t xml:space="preserve">All the Best Pet Care
1909 NW Market St</t>
  </si>
  <si>
    <t xml:space="preserve">I can't find the building with that business showing up on Google Map but there is a Nomad across the street maybe with graffati on the 2nd floor of that building</t>
  </si>
  <si>
    <t xml:space="preserve">https://www.allthebestpetcare.com/locations-and-hours/best-pet-store-in-ballard/
customercare@allthebestpetcare.com</t>
  </si>
  <si>
    <t xml:space="preserve">@allthebestpetcare</t>
  </si>
  <si>
    <t xml:space="preserve">8,600 followers</t>
  </si>
  <si>
    <t xml:space="preserve">Mighty-O-Donuts
1555 NW Market St </t>
  </si>
  <si>
    <t xml:space="preserve">Cheerful bakery &amp; cafe specializing in organic, vegan donuts &amp; coffee in bright environs</t>
  </si>
  <si>
    <t xml:space="preserve">https://mightyo.com/
hello@mightyo.com</t>
  </si>
  <si>
    <t xml:space="preserve">@mightyodonuts</t>
  </si>
  <si>
    <t xml:space="preserve">14.4k followers</t>
  </si>
  <si>
    <t xml:space="preserve">Stubletown
618 NW 65th St, Seattle</t>
  </si>
  <si>
    <t xml:space="preserve">side wall</t>
  </si>
  <si>
    <t xml:space="preserve">https://stumbletownseattle.com/</t>
  </si>
  <si>
    <t xml:space="preserve">@stumbletown_seattle</t>
  </si>
  <si>
    <t xml:space="preserve">J&amp;M Collision
10843 1st Ave S UNIT B, Seattle</t>
  </si>
  <si>
    <t xml:space="preserve">on google I see it as a axe throwing place - lol - but it is blank white walls</t>
  </si>
  <si>
    <t xml:space="preserve">https://www.jmautocollision.com/
JMAUTO10211021@GMAIL.COM</t>
  </si>
  <si>
    <t xml:space="preserve">Seattle Business Babes
www.businessbabecollective.com</t>
  </si>
  <si>
    <t xml:space="preserve">networking IG page for women entrepreneurs </t>
  </si>
  <si>
    <t xml:space="preserve">@seattlebusinessbabes</t>
  </si>
  <si>
    <t xml:space="preserve">West Seattle Small Businesses</t>
  </si>
  <si>
    <t xml:space="preserve">networking site on IG </t>
  </si>
  <si>
    <t xml:space="preserve">@westseattlesmallbiz</t>
  </si>
  <si>
    <t xml:space="preserve">300 followers</t>
  </si>
  <si>
    <t xml:space="preserve">Seattle Business</t>
  </si>
  <si>
    <t xml:space="preserve">best of Seattle entertainment / activities / sports.  DM for local business Opps</t>
  </si>
  <si>
    <t xml:space="preserve">IG Only</t>
  </si>
  <si>
    <t xml:space="preserve">@seattle_business</t>
  </si>
  <si>
    <t xml:space="preserve">2100 followers</t>
  </si>
  <si>
    <t xml:space="preserve">Seattle University
seattleeu.edu</t>
  </si>
  <si>
    <t xml:space="preserve">Newsroom: SU News central news site featuring the news and human interest stories
</t>
  </si>
  <si>
    <t xml:space="preserve">@seattleeu</t>
  </si>
  <si>
    <t xml:space="preserve">28.1k followers</t>
  </si>
  <si>
    <t xml:space="preserve">Entrepreneur's Organizations: Seattle Chapter
www.eoseattle.org</t>
  </si>
  <si>
    <t xml:space="preserve">Seattle University student publication</t>
  </si>
  <si>
    <t xml:space="preserve">@eoseattle</t>
  </si>
  <si>
    <t xml:space="preserve">265 followers</t>
  </si>
  <si>
    <t xml:space="preserve">The Spectator 
Seattlespectator.com</t>
  </si>
  <si>
    <t xml:space="preserve">Leila Bunker Editor in Chief
leila@su-spectator.com
Arts &amp; Entertainment Editor is Keagan Brooks - Torres
kbrooks-torres@
Social Media Mgr: Matthew Mai
matthewmai@</t>
  </si>
  <si>
    <t xml:space="preserve">@seattlespectator</t>
  </si>
  <si>
    <t xml:space="preserve">1279 followers</t>
  </si>
  <si>
    <t xml:space="preserve">Luna Mystica
https://hotellunamystica.com/</t>
  </si>
  <si>
    <t xml:space="preserve">in kind, lodging.  Great RV &amp; retro trailer camping and event venue </t>
  </si>
  <si>
    <t xml:space="preserve">website portal or this email: reservations@hotelluna­mystica.com</t>
  </si>
  <si>
    <t xml:space="preserve">emailed on inquiry form first, trying to get a good contact; sent f/u 5/30th to reservation email</t>
  </si>
  <si>
    <t xml:space="preserve">@hotellunamytica</t>
  </si>
  <si>
    <t xml:space="preserve">28.1k Followers</t>
  </si>
  <si>
    <t xml:space="preserve">Daleeek Venue
https://www.daleeektaos.com/</t>
  </si>
  <si>
    <t xml:space="preserve">popular venue in Taos for music and food</t>
  </si>
  <si>
    <t xml:space="preserve">Do we create an event, live mural space at the venue maybe - set up QR for artist donations onsite.  They responded back 6/10 and cannot 'get their ducks in a row to help out' but were interested in doing so.  maybe next year?</t>
  </si>
  <si>
    <t xml:space="preserve">@daleeektaos</t>
  </si>
  <si>
    <t xml:space="preserve">4,100 followers</t>
  </si>
  <si>
    <t xml:space="preserve">KNCE radio station
https://truetaosradio.com/</t>
  </si>
  <si>
    <t xml:space="preserve">independent, locally-owned, community-supported radio station ; marketing in Taos</t>
  </si>
  <si>
    <t xml:space="preserve">general: Info@TrueTaosRadio.com
advertising: molly@truetaosradio.com</t>
  </si>
  <si>
    <t xml:space="preserve">N/A</t>
  </si>
  <si>
    <t xml:space="preserve">La Fonda Hotel
https://lafondasantafe.com/</t>
  </si>
  <si>
    <t xml:space="preserve">Big hotel, venue, market spot in downtown Santa Fe</t>
  </si>
  <si>
    <t xml:space="preserve">emailed 5/25 for info on Plaza Pop Up and possible lodging trade</t>
  </si>
  <si>
    <t xml:space="preserve">@pinoncourt</t>
  </si>
  <si>
    <t xml:space="preserve">600 followers</t>
  </si>
  <si>
    <t xml:space="preserve">John Dunn Shops
https://johndunnshops.com/</t>
  </si>
  <si>
    <t xml:space="preserve">open shopping / gallery district / street in Taos</t>
  </si>
  <si>
    <t xml:space="preserve">their website didn't offer a contact that I could find</t>
  </si>
  <si>
    <t xml:space="preserve">Taos Art Supply
no website, FB only</t>
  </si>
  <si>
    <t xml:space="preserve">in kind supply / sponsor</t>
  </si>
  <si>
    <t xml:space="preserve">info@taosartsupplies.com</t>
  </si>
  <si>
    <t xml:space="preserve">responded only w a thanks for reaching out but declined a mtg</t>
  </si>
  <si>
    <t xml:space="preserve">Taos Artist Collective 
https://taosartistcollective.com/</t>
  </si>
  <si>
    <t xml:space="preserve">Lois, Owner
LoisinTaos@yahoo.com</t>
  </si>
  <si>
    <t xml:space="preserve">emailed the owner, Lois, to grab her attention for opporuntities / leads</t>
  </si>
  <si>
    <t xml:space="preserve">Taos Valley RV
https://taosrvpark.com/</t>
  </si>
  <si>
    <t xml:space="preserve">in kind, lodging for RV parking</t>
  </si>
  <si>
    <t xml:space="preserve">Taosvalleyrv@gmail.com</t>
  </si>
  <si>
    <t xml:space="preserve">@taosvalleyrvpark</t>
  </si>
  <si>
    <t xml:space="preserve">Black Cat Creative</t>
  </si>
  <si>
    <t xml:space="preserve">Artist - Slug Queen
OBSESSED</t>
  </si>
  <si>
    <t xml:space="preserve">dmed 10/25</t>
  </si>
  <si>
    <t xml:space="preserve">@black.cat.creative </t>
  </si>
  <si>
    <t xml:space="preserve">Lisa Taniguchi</t>
  </si>
  <si>
    <t xml:space="preserve">Artist - Lettering + Murals + Design</t>
  </si>
  <si>
    <t xml:space="preserve">@lisa.taniguchi </t>
  </si>
  <si>
    <t xml:space="preserve">11.4k</t>
  </si>
  <si>
    <t xml:space="preserve">Vancouver Guardian </t>
  </si>
  <si>
    <t xml:space="preserve">MEDIA - Arts + Culture</t>
  </si>
  <si>
    <t xml:space="preserve">HAVE NOT REACHED OUT</t>
  </si>
  <si>
    <t xml:space="preserve">@vancouverguardian </t>
  </si>
  <si>
    <t xml:space="preserve">1.7k</t>
  </si>
  <si>
    <t xml:space="preserve">Amy Stewart</t>
  </si>
  <si>
    <t xml:space="preserve">Successful fine artist</t>
  </si>
  <si>
    <t xml:space="preserve">13.1k</t>
  </si>
  <si>
    <t xml:space="preserve">The Arts Factory</t>
  </si>
  <si>
    <t xml:space="preserve">21k sqft artist spaces
non-profit
</t>
  </si>
  <si>
    <t xml:space="preserve">studio@artsfactorysociety.ca</t>
  </si>
  <si>
    <t xml:space="preserve">dmed 10/25
emailed 10/25</t>
  </si>
  <si>
    <t xml:space="preserve">@artsfactoryvan </t>
  </si>
  <si>
    <t xml:space="preserve">Kirk F. Gower </t>
  </si>
  <si>
    <t xml:space="preserve">Local artist </t>
  </si>
  <si>
    <t xml:space="preserve">@kirk.f.gower </t>
  </si>
  <si>
    <t xml:space="preserve">1.4k</t>
  </si>
  <si>
    <t xml:space="preserve">Leeside Skatepark</t>
  </si>
  <si>
    <t xml:space="preserve">local skatepark - has graff</t>
  </si>
  <si>
    <t xml:space="preserve">leesideskatepark@gmail.com</t>
  </si>
  <si>
    <t xml:space="preserve">dmed 10/25
</t>
  </si>
  <si>
    <t xml:space="preserve">@leesidediyskatepark</t>
  </si>
  <si>
    <t xml:space="preserve">East Van Paint</t>
  </si>
  <si>
    <t xml:space="preserve">photographer of local street art </t>
  </si>
  <si>
    <t xml:space="preserve">Copy of SPRAYCATION 2025</t>
  </si>
  <si>
    <t xml:space="preserve">Drew Young 
Artist + Founder @vanmuralfest
@astroclubartistfacility, etc. </t>
  </si>
  <si>
    <t xml:space="preserve">leader in creative industry</t>
  </si>
  <si>
    <t xml:space="preserve">emailed 10/25
dmed 10/19</t>
  </si>
  <si>
    <t xml:space="preserve">Portland Foodie @eatlikenhi)</t>
  </si>
  <si>
    <t xml:space="preserve">also does Vancouver area and wants to collab up there</t>
  </si>
  <si>
    <t xml:space="preserve">MOUNT PLEASANT COMMUNITY ART SCREEN (MPCAS)
https://www.mpcas.ca/about/</t>
  </si>
  <si>
    <t xml:space="preserve">outdoor urban screen located on unceded Coast Salish territories, in the Mount Pleasant neighbourhood of Vancouver, BC, Canada. Launched in December 2019, the MPCAS reflects its neighbourhood through artwork by local and commissioned artists, with a special focus on works exploring the area’s history, its current vitality and its future</t>
  </si>
  <si>
    <t xml:space="preserve">MPCAS is programmed by Grunt Gallery
https://grunt.ca/</t>
  </si>
  <si>
    <t xml:space="preserve">The gallery founded in 1984 by 8 artists.  It offers exhibitions, special projects and public programming with a focus on practices and perspectives that have, since the beginning, questioned established values in contemporary art production.</t>
  </si>
  <si>
    <t xml:space="preserve">#116–350 East 2nd Avenue, Vancouver
604-875-9516</t>
  </si>
  <si>
    <t xml:space="preserve">@gruntgallery</t>
  </si>
  <si>
    <t xml:space="preserve">8.1k Followers</t>
  </si>
  <si>
    <t xml:space="preserve">Emily Carr University of Art + Design
https://www.ecuad.ca/on-campus/galleries</t>
  </si>
  <si>
    <t xml:space="preserve">The public is welcome to browse our galleries and access our cultural collections</t>
  </si>
  <si>
    <t xml:space="preserve">520 1st Ave E.
reception@ecuad.ca</t>
  </si>
  <si>
    <t xml:space="preserve">@emilycarru</t>
  </si>
  <si>
    <t xml:space="preserve">26.6k Followers</t>
  </si>
  <si>
    <t xml:space="preserve">Mount Pleasant Vintage &amp; Provisions
https://www.mtpleasant.bar/</t>
  </si>
  <si>
    <t xml:space="preserve">The unassuming cocktail bar disguised as a postmodern thrift shop. Building community in Mount Pleasant.
They have a Welcome to Mount Pleasant Mural on the building beside them, facing their patio already.  Maybe good for support and trade.  Restaurant and bar and coffee vintage clothing store - wow, wide net of cool stuff</t>
  </si>
  <si>
    <t xml:space="preserve">67 West 6th Avenue, Vancouver, BC</t>
  </si>
  <si>
    <t xml:space="preserve">@mountpleasantvintage</t>
  </si>
  <si>
    <t xml:space="preserve">17.6k followers</t>
  </si>
  <si>
    <t xml:space="preserve">check out this place: Artigiano Cafe
https://caffeartigiano.com/</t>
  </si>
  <si>
    <t xml:space="preserve">Their Mount Pleasant café at 111 Broadway @ Manitoba has both interior and exterior murals by local artists in collaboration with Vancouver Mural Festival.</t>
  </si>
  <si>
    <t xml:space="preserve">website drop down</t>
  </si>
  <si>
    <t xml:space="preserve">@cafeartigiano</t>
  </si>
  <si>
    <t xml:space="preserve">8k followers</t>
  </si>
  <si>
    <t xml:space="preserve">Storm Brewing in EAST Vancouver neighborhood
310 Commercial Dr, Vancouver, BC V5L 3V6, Canada</t>
  </si>
  <si>
    <t xml:space="preserve">scrappy looking but revered as a classic. shitty old murals on their walls and vans; from their site: Since 1994, brewer James Walton and the Storm Brewing team have been bringing Vancouverites innovative &amp; unpretentious craft beer.</t>
  </si>
  <si>
    <t xml:space="preserve">310 Commercial Drive; no email or website portal</t>
  </si>
  <si>
    <t xml:space="preserve">@Stormbrewing</t>
  </si>
  <si>
    <t xml:space="preserve">16.3k Followers</t>
  </si>
  <si>
    <t xml:space="preserve">GENE Coffee Bar
https://www.genecoffeebar.ca/</t>
  </si>
  <si>
    <t xml:space="preserve">has mural like paint on the sides of the corner spot.  In the Mount Pleasant Neighborhood. On busy street with a lot of other locations.</t>
  </si>
  <si>
    <t xml:space="preserve">genecoffee@outlook.com</t>
  </si>
  <si>
    <t xml:space="preserve">has a 'fan page' on IG
https://www.instagram.com/explore/locations/250042503/gene-coffee-bar-fanpage/</t>
  </si>
  <si>
    <t xml:space="preserve">Main Street Brewing
https://www.mainstreetbeer.ca/</t>
  </si>
  <si>
    <t xml:space="preserve">two half ass murals inside - large inside with a very DIY feel - comes up though in all the brewery searches, in Mount Pleasant Neighborhood.  Outside is clean - not sure if they have the ability to pain the exterior</t>
  </si>
  <si>
    <t xml:space="preserve">Tasting Room MGR
Eilis@mainstreetbeer.ca</t>
  </si>
  <si>
    <t xml:space="preserve">@mainstreetbeer</t>
  </si>
  <si>
    <t xml:space="preserve">14.9k followers</t>
  </si>
  <si>
    <t xml:space="preserve">Vancouver Sun</t>
  </si>
  <si>
    <t xml:space="preserve">Major broadsheet newspaper</t>
  </si>
  <si>
    <t xml:space="preserve">The Province</t>
  </si>
  <si>
    <t xml:space="preserve">major tabloid newspaper</t>
  </si>
  <si>
    <t xml:space="preserve">Daily Hive</t>
  </si>
  <si>
    <t xml:space="preserve">Digital only news source originated as Vancity Buzz</t>
  </si>
  <si>
    <t xml:space="preserve">The Tyee</t>
  </si>
  <si>
    <t xml:space="preserve">Independent online news magazine, maybe toooo newsie not much on culture or lifestyle</t>
  </si>
  <si>
    <t xml:space="preserve">editor@thetyee.ca, pitch a story link on website, Eidotr in Chief is Dave Beers, dbeers@thetyee.ca
Culture Editor Dorothy Woodend, dwoodend@</t>
  </si>
  <si>
    <t xml:space="preserve">Scout Magazine
scoutemagazine.ca</t>
  </si>
  <si>
    <t xml:space="preserve">VERY COOL local website focused on food, culture and lifestyle</t>
  </si>
  <si>
    <t xml:space="preserve">Michelle@scoutmagazine.ca
managing editor, operator</t>
  </si>
  <si>
    <t xml:space="preserve">@scoutmagazine</t>
  </si>
  <si>
    <t xml:space="preserve">47.3k followers</t>
  </si>
  <si>
    <t xml:space="preserve">East Village Vancouver
eastvillagevancouver.ca</t>
  </si>
  <si>
    <t xml:space="preserve">guide to the vibrant shops and stories of Hastings Sunrise + Grandview - Woodland, two historic hoods</t>
  </si>
  <si>
    <t xml:space="preserve">info@eastvillagevancouver.ca or 604-215-2401
Patricia Barnes, Exe Dir
Jessica Liebenber, Events, Projects and Programs
First name@ is the email format</t>
  </si>
  <si>
    <t xml:space="preserve">@eastvillagevan</t>
  </si>
  <si>
    <t xml:space="preserve">The Beaumont Studios
thebeaumontstudios.com/venue</t>
  </si>
  <si>
    <t xml:space="preserve">Creative Argus Hub 
326 W 5th Ave Vancouver</t>
  </si>
  <si>
    <t xml:space="preserve">info@thebeaumontstudios.com</t>
  </si>
  <si>
    <t xml:space="preserve">@thebeaumontstudios</t>
  </si>
  <si>
    <t xml:space="preserve">15.5k followers</t>
  </si>
  <si>
    <t xml:space="preserve">The Slice of Life Gallry</t>
  </si>
  <si>
    <t xml:space="preserve">absolutely incredible space for events tons of community work, really doing awesome work in the city</t>
  </si>
  <si>
    <t xml:space="preserve">Vancouver Murals</t>
  </si>
  <si>
    <t xml:space="preserve">IG account</t>
  </si>
  <si>
    <t xml:space="preserve">@vancouvermurals</t>
  </si>
  <si>
    <t xml:space="preserve">City of Vancouver</t>
  </si>
  <si>
    <t xml:space="preserve">@cityofvancouver</t>
  </si>
  <si>
    <t xml:space="preserve">12.1k followers</t>
  </si>
  <si>
    <t xml:space="preserve">Vancouver Guardian
www.vancouverguardian.com</t>
  </si>
  <si>
    <t xml:space="preserve">@vancouverguardian</t>
  </si>
  <si>
    <t xml:space="preserve">1799 followers</t>
  </si>
  <si>
    <t xml:space="preserve">Courtney Caroline</t>
  </si>
  <si>
    <t xml:space="preserve">artist</t>
  </si>
  <si>
    <t xml:space="preserve">@courtneycarolineart
@parkerstreetstudio</t>
  </si>
  <si>
    <t xml:space="preserve">22.5k followers</t>
  </si>
  <si>
    <t xml:space="preserve">Olivia Di Liberty </t>
  </si>
  <si>
    <t xml:space="preserve">@chillivia</t>
  </si>
  <si>
    <t xml:space="preserve">5,800 followers</t>
  </si>
  <si>
    <t xml:space="preserve">Anita Sikma</t>
  </si>
  <si>
    <t xml:space="preserve">artist/ jewelry, </t>
  </si>
  <si>
    <t xml:space="preserve">anita@anitasikma.com</t>
  </si>
  <si>
    <t xml:space="preserve">@anitasikma</t>
  </si>
  <si>
    <t xml:space="preserve">6,100 followers</t>
  </si>
  <si>
    <t xml:space="preserve">West Van Arts</t>
  </si>
  <si>
    <t xml:space="preserve">Best of Art, Culture &amp; Experiences IG account</t>
  </si>
  <si>
    <t xml:space="preserve">@westvanarts</t>
  </si>
  <si>
    <t xml:space="preserve">1,263 followers</t>
  </si>
  <si>
    <t xml:space="preserve">Layout Art Supply store
1622 Franklin Street
layoutartsuppply.com</t>
  </si>
  <si>
    <t xml:space="preserve">@layoutartsupply</t>
  </si>
  <si>
    <t xml:space="preserve">2,875 followers</t>
  </si>
  <si>
    <t xml:space="preserve">MSEG Studios</t>
  </si>
  <si>
    <t xml:space="preserve">Vancouver artist, photographer, &amp; Event host</t>
  </si>
  <si>
    <t xml:space="preserve">@msegphotography</t>
  </si>
  <si>
    <t xml:space="preserve">4,165 followers</t>
  </si>
  <si>
    <t xml:space="preserve">Cecilia Velasco</t>
  </si>
  <si>
    <t xml:space="preserve">graphics, illustration, artist</t>
  </si>
  <si>
    <t xml:space="preserve">@ceci.vela</t>
  </si>
  <si>
    <t xml:space="preserve">606 followers</t>
  </si>
  <si>
    <t xml:space="preserve">Adriele Au
adrieleau.com</t>
  </si>
  <si>
    <t xml:space="preserve">using home objects and art materials in new ways,artist</t>
  </si>
  <si>
    <t xml:space="preserve">@adrieleau</t>
  </si>
  <si>
    <t xml:space="preserve">252 followers</t>
  </si>
  <si>
    <t xml:space="preserve">The Corner Store
cornerstorevancouver.com</t>
  </si>
  <si>
    <t xml:space="preserve">street wear clothes </t>
  </si>
  <si>
    <t xml:space="preserve">Jaugustine@ppg.com</t>
  </si>
  <si>
    <t xml:space="preserve">@cornerstorevancouver</t>
  </si>
  <si>
    <t xml:space="preserve">16k followers</t>
  </si>
  <si>
    <t xml:space="preserve">Austin</t>
  </si>
  <si>
    <t xml:space="preserve">Claire Keener</t>
  </si>
  <si>
    <t xml:space="preserve">Boise Photographer &amp; Videographer</t>
  </si>
  <si>
    <t xml:space="preserve">kenner.photoco@gmail.com</t>
  </si>
  <si>
    <t xml:space="preserve">@kenner.photoco</t>
  </si>
  <si>
    <t xml:space="preserve">187 followers</t>
  </si>
  <si>
    <t xml:space="preserve">Eva Moss
evamoss.com</t>
  </si>
  <si>
    <t xml:space="preserve">female solo business does a full workup of video production including smaller projects.  Website shows work with Lulumon and a variety of both personal and commerical and social justice projects</t>
  </si>
  <si>
    <t xml:space="preserve">eva@evamoss.com</t>
  </si>
  <si>
    <t xml:space="preserve">@lezglam</t>
  </si>
  <si>
    <t xml:space="preserve">1600 followers</t>
  </si>
  <si>
    <t xml:space="preserve">Sara T (found in Upwork) </t>
  </si>
  <si>
    <t xml:space="preserve">5 stars and very reasonal hourly rate.
I’m experienced in all phases of video production, and I worked in fast-paced environments that required flexibility and creative problem-solving. My previous work included operating cameras, microphones, lighting as well as storyboarding, and post-production. I also do graphic design and motion graphics design.</t>
  </si>
  <si>
    <t xml:space="preserve">https://www.upwork.com/freelancers/~01154668a459da6b2b?mp_source=share</t>
  </si>
  <si>
    <t xml:space="preserve">Garret B (found in Upwork) his company if Marmalade Creative
https://garrettbennion.com/</t>
  </si>
  <si>
    <t xml:space="preserve">5 stars, good ratings/reviews 
My name is Garrett, I'm a driven Videographer, Video Director, and Cinematographer based in Portland, OR. I work on a range of projects with budgets small to large, but specialize in marketing videos, interview setups, event coverage, and brand story films.</t>
  </si>
  <si>
    <t xml:space="preserve">@garrettbennion (personal mostly) his website is more professional</t>
  </si>
  <si>
    <t xml:space="preserve">1300 followers</t>
  </si>
  <si>
    <t xml:space="preserve">Lorddscreation, avier Damo
https://lorddscreation.myportfolio.com/about</t>
  </si>
  <si>
    <t xml:space="preserve">Hello! My name is Xavier Damo. I'm a freelance photographer based in Portland, Oregon, specializing in live music and event photography. I'm known for capturing high- energy, candid moments that tell real stories. Whether its a concert, private event, or local gathering, I focus on preserving the atmosphere and emotion of every moment. Let's work together to create memories you'll never forget.</t>
  </si>
  <si>
    <t xml:space="preserve">@lorddscreation_media</t>
  </si>
  <si>
    <t xml:space="preserve">Lost Fox Creative, 
Andrew Shepherd
https://lorddscreation.myportfolio.com/about</t>
  </si>
  <si>
    <t xml:space="preserve">Lost Fox Creative
In an effort to preserve brand stories and genuine sentiment, Lost Fox Creative brings a sense of reverence to projects it’s involved with, taking great care to capture a brand’s message, and impact its audience with authentic marketing</t>
  </si>
  <si>
    <t xml:space="preserve">lostfoxproductions@gmail.com</t>
  </si>
  <si>
    <t xml:space="preserve">@lostfoxcreative
Vimeo: https://vimeo.com/lostfoxcreative </t>
  </si>
  <si>
    <t xml:space="preserve">allove Media, Isaiah Kerlegan
</t>
  </si>
  <si>
    <t xml:space="preserve">Isaiah Kerlegan | Portland Videographer &amp; Photographer; All Love | Everyone has a story</t>
  </si>
  <si>
    <t xml:space="preserve">no website </t>
  </si>
  <si>
    <t xml:space="preserve">@allovemedia</t>
  </si>
  <si>
    <t xml:space="preserve">10k followers</t>
  </si>
  <si>
    <t xml:space="preserve">MJ Romero Clark | Photo &amp; Video Creator | Social Media Manager</t>
  </si>
  <si>
    <t xml:space="preserve">also a photograher and you see a lot of aerial work &amp; gallery involvment</t>
  </si>
  <si>
    <t xml:space="preserve">mromero.clark@gmail.com</t>
  </si>
  <si>
    <t xml:space="preserve">@mj_pdx</t>
  </si>
  <si>
    <t xml:space="preserve">Matt </t>
  </si>
  <si>
    <t xml:space="preserve">Booked for Portland</t>
  </si>
  <si>
    <t xml:space="preserve">Mira Redko Seattle Photo &amp; Video</t>
  </si>
  <si>
    <t xml:space="preserve">DM on IG</t>
  </si>
  <si>
    <t xml:space="preserve">@miraredkophotoandvideo</t>
  </si>
  <si>
    <t xml:space="preserve">1,590 followers</t>
  </si>
  <si>
    <t xml:space="preserve">Jacob &amp; Megan Norwood, Photo and Video
pacificnorwoods.com</t>
  </si>
  <si>
    <t xml:space="preserve">@pacificnorwoods</t>
  </si>
  <si>
    <t xml:space="preserve">169 followers</t>
  </si>
  <si>
    <t xml:space="preserve">Stevie Shao</t>
  </si>
  <si>
    <t xml:space="preserve">@stepfrae</t>
  </si>
  <si>
    <t xml:space="preserve">57.2k followers</t>
  </si>
  <si>
    <t xml:space="preserve">Seattle Video Photo</t>
  </si>
  <si>
    <t xml:space="preserve">Specializing in B2B video production, corp videos</t>
  </si>
  <si>
    <t xml:space="preserve">@seattle_video_photo</t>
  </si>
  <si>
    <t xml:space="preserve">29 followers</t>
  </si>
  <si>
    <t xml:space="preserve">Pixel &amp; Pine</t>
  </si>
  <si>
    <t xml:space="preserve">super 8 + Storytelling</t>
  </si>
  <si>
    <t xml:space="preserve">@pixelandpine</t>
  </si>
  <si>
    <t xml:space="preserve">147 followers</t>
  </si>
  <si>
    <t xml:space="preserve">Growing Boy Media</t>
  </si>
  <si>
    <t xml:space="preserve">@growingboymedia</t>
  </si>
  <si>
    <t xml:space="preserve">1,325 followers</t>
  </si>
  <si>
    <t xml:space="preserve">Steven Luong</t>
  </si>
  <si>
    <t xml:space="preserve">@steven.t.luong</t>
  </si>
  <si>
    <t xml:space="preserve">37.6k followers</t>
  </si>
  <si>
    <t xml:space="preserve">Jonathan Furlong</t>
  </si>
  <si>
    <t xml:space="preserve">send based in Seattle but really out of LA</t>
  </si>
  <si>
    <t xml:space="preserve">@jonathanfurlong</t>
  </si>
  <si>
    <t xml:space="preserve">14.7k followers</t>
  </si>
  <si>
    <t xml:space="preserve">Chase, Videographer</t>
  </si>
  <si>
    <t xml:space="preserve">Zuzu's friend, Incredible - top choice for content</t>
  </si>
  <si>
    <t xml:space="preserve">Jeremy Au Yeung
jeremyay.com</t>
  </si>
  <si>
    <t xml:space="preserve">portraits, documentary, street, lifestyle and weddings</t>
  </si>
  <si>
    <t xml:space="preserve">@ithejeremyay</t>
  </si>
  <si>
    <t xml:space="preserve">1,485 followers</t>
  </si>
  <si>
    <t xml:space="preserve">Carolyn Wong
</t>
  </si>
  <si>
    <t xml:space="preserve">illustration, murals &amp; Painting, tattoo</t>
  </si>
  <si>
    <t xml:space="preserve">@seeroro_</t>
  </si>
  <si>
    <t xml:space="preserve">12.6 k followers</t>
  </si>
  <si>
    <t xml:space="preserve">Ave</t>
  </si>
  <si>
    <t xml:space="preserve">Founder of @thegroupchatdenver</t>
  </si>
  <si>
    <t xml:space="preserve">@avereem</t>
  </si>
  <si>
    <t xml:space="preserve">5589 Followers</t>
  </si>
  <si>
    <t xml:space="preserve">Kyle Moeller
tgn-productions.com</t>
  </si>
  <si>
    <t xml:space="preserve">great price</t>
  </si>
  <si>
    <t xml:space="preserve">contact@tgn-productions.com
916-934-8098</t>
  </si>
  <si>
    <t xml:space="preserve">booked for Boise</t>
  </si>
  <si>
    <t xml:space="preserve">@tgn_productions</t>
  </si>
  <si>
    <t xml:space="preserve">33.2k</t>
  </si>
  <si>
    <t xml:space="preserve">Contact's Name</t>
  </si>
  <si>
    <t xml:space="preserve">Mailing address</t>
  </si>
  <si>
    <t xml:space="preserve">Shirt size</t>
  </si>
  <si>
    <t xml:space="preserve">Sticker Pack</t>
  </si>
  <si>
    <t xml:space="preserve">Postcard Pack</t>
  </si>
  <si>
    <t xml:space="preserve">Thank you letter</t>
  </si>
  <si>
    <t xml:space="preserve">Other city</t>
  </si>
  <si>
    <t xml:space="preserve">Dan B (+6 yr daughter)</t>
  </si>
  <si>
    <t xml:space="preserve">1710 Puglia CT
Rockwall, TX</t>
  </si>
  <si>
    <t xml:space="preserve">Bianca &amp; Scott</t>
  </si>
  <si>
    <t xml:space="preserve">15613 Cabrillo Way 79738
Angel Fire, NM</t>
  </si>
  <si>
    <t xml:space="preserve">S</t>
  </si>
  <si>
    <t xml:space="preserve">Sante Fe</t>
  </si>
  <si>
    <t xml:space="preserve">Daddy Ernest
Clark &amp; Sons Truck</t>
  </si>
  <si>
    <t xml:space="preserve">4300 Airport Rd
Santa Fe, NM 87507</t>
  </si>
  <si>
    <t xml:space="preserve">XL</t>
  </si>
  <si>
    <t xml:space="preserve">Erik Fink - Welding work on bumper and generator exhaust</t>
  </si>
  <si>
    <t xml:space="preserve">2190 county road 105. Hutto tx. 78634</t>
  </si>
  <si>
    <t xml:space="preserve">Daddy Russel Payton - Mechanic Tao</t>
  </si>
  <si>
    <t xml:space="preserve">827 Paseo del Pueblo sur Taos nm 87571</t>
  </si>
  <si>
    <t xml:space="preserve">Bobby Zakes - Paint hook-up Greenling</t>
  </si>
  <si>
    <t xml:space="preserve">34797 Pleasant Lane 
Evergreen, CO 80439</t>
  </si>
  <si>
    <t xml:space="preserve">Marshall McKee</t>
  </si>
  <si>
    <t xml:space="preserve">1135 s. Gray st. Lakewood, CO 80232</t>
  </si>
  <si>
    <t xml:space="preserve">Scott Keating w/ Nemo Design</t>
  </si>
  <si>
    <t xml:space="preserve">20541 Gloucester LN
Bend, OR 97701</t>
  </si>
  <si>
    <t xml:space="preserve">L</t>
  </si>
  <si>
    <t xml:space="preserve">Tyler Nail w/ Apres Brewing
(already gave shirt)</t>
  </si>
  <si>
    <t xml:space="preserve">1216 West Lincoln Street A,
Bozeman, MT 59715</t>
  </si>
  <si>
    <t xml:space="preserve">no shirt</t>
  </si>
  <si>
    <t xml:space="preserve">Patrick Schect</t>
  </si>
  <si>
    <t xml:space="preserve">FIVER Video Editor !??!?!</t>
  </si>
  <si>
    <t xml:space="preserve">Town Hall Collective
Hidden Gem</t>
  </si>
  <si>
    <t xml:space="preserve">525 Santa Fe, Denver Colorado 80204</t>
  </si>
  <si>
    <t xml:space="preserve">Nam Nguyen
Videographer / Editor</t>
  </si>
  <si>
    <t xml:space="preserve">M</t>
  </si>
  <si>
    <t xml:space="preserve">May Museum of Natural History
Mom &amp; Daughter interview</t>
  </si>
  <si>
    <t xml:space="preserve">Colorado Springs, CO</t>
  </si>
  <si>
    <t xml:space="preserve">Johnson's Itty Bitty Farm</t>
  </si>
  <si>
    <t xml:space="preserve">1430 Martin Ln. Boone, CO 81205</t>
  </si>
  <si>
    <t xml:space="preserve">Luna Mystica
stickers &amp; postcards x 3</t>
  </si>
  <si>
    <t xml:space="preserve">Metamorphic Vintage
stickers &amp; postcards</t>
  </si>
  <si>
    <t xml:space="preserve">218 B Paseo Del Pueblo Sur, Taos, NM 87571</t>
  </si>
  <si>
    <t xml:space="preserve">Tahirah Razak @ Om Gallery</t>
  </si>
  <si>
    <t xml:space="preserve">412 E 41st St Suite 5A
Garden City, ID 83714</t>
  </si>
  <si>
    <t xml:space="preserve">Shaunie Berry &amp;
Tya Alisa Anthony</t>
  </si>
  <si>
    <t xml:space="preserve">Redline Comtemporary Arts Center
2350 Arapahoe St, Denver, CO 80205</t>
  </si>
  <si>
    <t xml:space="preserve">Ana Paula Pinto | Director of Programs &amp; Operations</t>
  </si>
  <si>
    <t xml:space="preserve">DENVER'S ART DISTRICT ON SANTA FE
858 Sante Fe Drive, Denver CO 80204</t>
  </si>
  <si>
    <t xml:space="preserve">Nossa Familia Coffee</t>
  </si>
  <si>
    <t xml:space="preserve">DJ Aquamarine</t>
  </si>
  <si>
    <t xml:space="preserve">Staff ? Mark &amp; wife</t>
  </si>
  <si>
    <t xml:space="preserve">Crave Catering
1324 SE 8th Ave, Portland, OR</t>
  </si>
  <si>
    <t xml:space="preserve">Logan, photographer</t>
  </si>
  <si>
    <t xml:space="preserve">Matt, videographer</t>
  </si>
  <si>
    <t xml:space="preserve">Emilia Quinton &amp; staff
Rebel Heart Therapy</t>
  </si>
  <si>
    <t xml:space="preserve">11 NE Martin Luther King Jr Blvd Suite 203
 Portland, OR 97232</t>
  </si>
  <si>
    <t xml:space="preserve">Kyle Moeller
TNG Productions
</t>
  </si>
  <si>
    <t xml:space="preserve">Contact name</t>
  </si>
  <si>
    <t xml:space="preserve">Email</t>
  </si>
  <si>
    <t xml:space="preserve">mural festival - not sponsorship but great for interaction and exposure</t>
  </si>
  <si>
    <t xml:space="preserve">Noah</t>
  </si>
  <si>
    <t xml:space="preserve"> info@slamfetivals.org</t>
  </si>
  <si>
    <t xml:space="preserve">Lead time - there is an application process to contribute and / or be involved in any way</t>
  </si>
  <si>
    <t xml:space="preserve">arts </t>
  </si>
  <si>
    <t xml:space="preserve">Liz Black
</t>
  </si>
  <si>
    <t xml:space="preserve">liz@40westarts.com</t>
  </si>
  <si>
    <t xml:space="preserve">photo booth activity for marketing / events</t>
  </si>
  <si>
    <t xml:space="preserve">Joyce Reilly</t>
  </si>
  <si>
    <t xml:space="preserve"> &lt;joyce@mihientertainment.com&gt;</t>
  </si>
  <si>
    <t xml:space="preserve">she was willing to come out to reveal event to support and offer service for those attending</t>
  </si>
  <si>
    <t xml:space="preserve">Joshua Schmitz</t>
  </si>
  <si>
    <t xml:space="preserve"> staysocial@handsomeboys.com</t>
  </si>
  <si>
    <t xml:space="preserve">was totally interested but construction was still going on in 2025</t>
  </si>
  <si>
    <t xml:space="preserve">Ana Paula Pinto | Director of Programs &amp; Operations
</t>
  </si>
  <si>
    <t xml:space="preserve">hello@denverartdistrict.org and anapaula@denverartdistrict.org</t>
  </si>
  <si>
    <t xml:space="preserve">Definitely helpful and wanted to take Zuzu around to introduce her to all the business owners and peeps active there</t>
  </si>
  <si>
    <t xml:space="preserve">Street Wise Arts
</t>
  </si>
  <si>
    <t xml:space="preserve">website portal:  https://streetwisearts.org/</t>
  </si>
  <si>
    <t xml:space="preserve">They responded to IG DMs and did an interview with Zuzu at the Denver reveal</t>
  </si>
  <si>
    <t xml:space="preserve">@303magazine</t>
  </si>
  <si>
    <t xml:space="preserve">128k followers</t>
  </si>
  <si>
    <t xml:space="preserve">The Pink Pearl - perm jewelery
https://www.thepinkpearldenver.com/</t>
  </si>
  <si>
    <t xml:space="preserve">We are committed to supporting our community by employing local welders and artisans, and facilitating pop-up events throughout the Front Range</t>
  </si>
  <si>
    <t xml:space="preserve">Annie Marshall, Owner
thepinkpearlLTD@gmail.com</t>
  </si>
  <si>
    <t xml:space="preserve"> reached out to Zuzu via IG</t>
  </si>
  <si>
    <t xml:space="preserve">She is trying to get a grant for $5k plus will put in $1,500 of her own money</t>
  </si>
  <si>
    <t xml:space="preserve">@pinkpearldenver</t>
  </si>
  <si>
    <t xml:space="preserve">1,900 followers</t>
  </si>
  <si>
    <t xml:space="preserve">49.2k followers</t>
  </si>
  <si>
    <t xml:space="preserve">Soaring Coffee
</t>
  </si>
  <si>
    <t xml:space="preserve">Mobile event coffee catering - IG account only
Looks small maybe more affordable, we can see if they do public sales and or get her interested in showing off at this market for her own marketing!
Does OR and WA areas btw
</t>
  </si>
  <si>
    <t xml:space="preserve">soaringcoffeeco@gmail.com</t>
  </si>
  <si>
    <t xml:space="preserve">Zuzu spoke to them in 2025</t>
  </si>
  <si>
    <t xml:space="preserve">@soaringcoffee</t>
  </si>
  <si>
    <t xml:space="preserve">Portal 503 </t>
  </si>
  <si>
    <t xml:space="preserve">big walls</t>
  </si>
  <si>
    <t xml:space="preserve">Salt Lake City</t>
  </si>
  <si>
    <t xml:space="preserve">SLUG MAG
Fice Gallery And Boutique
www.ficegallery.com</t>
  </si>
  <si>
    <t xml:space="preserve">loal photography magazine, gallery with rotating pop up shows, have a dope graff alley </t>
  </si>
  <si>
    <t xml:space="preserve">Grace Lund; owner
Zuzu spoke with Emerson in the shop</t>
  </si>
  <si>
    <t xml:space="preserve">info@ficegallery.com</t>
  </si>
  <si>
    <t xml:space="preserve">Zuzu got contact in Nov 2025</t>
  </si>
  <si>
    <t xml:space="preserve">@ficegallery</t>
  </si>
  <si>
    <t xml:space="preserve">30.5k </t>
  </si>
  <si>
    <t xml:space="preserve">Jetpackjohnson.com</t>
  </si>
  <si>
    <t xml:space="preserve">local muralist</t>
  </si>
  <si>
    <t xml:space="preserve">@jetpackjohnson_</t>
  </si>
  <si>
    <t xml:space="preserve">coleeisenhour.com</t>
  </si>
  <si>
    <t xml:space="preserve">@_roadfish_</t>
  </si>
  <si>
    <t xml:space="preserve">Patrick Fitz </t>
  </si>
  <si>
    <t xml:space="preserve">@patrickfitz77</t>
  </si>
  <si>
    <t xml:space="preserve">Plunj 
7088 W State Street
boise.plunj.co </t>
  </si>
  <si>
    <t xml:space="preserve">Boise' premier location for hot sauna and cold plunge</t>
  </si>
  <si>
    <t xml:space="preserve">@plunj_boise</t>
  </si>
  <si>
    <t xml:space="preserve">Visit Idaho</t>
  </si>
  <si>
    <t xml:space="preserve">offical IG for the state</t>
  </si>
  <si>
    <t xml:space="preserve">@visitidaho</t>
  </si>
  <si>
    <t xml:space="preserve">131k</t>
  </si>
  <si>
    <t xml:space="preserve">IG Boise Insiders</t>
  </si>
  <si>
    <t xml:space="preserve">Boise food, culture and experiences</t>
  </si>
  <si>
    <t xml:space="preserve">@boiseinsiders</t>
  </si>
  <si>
    <t xml:space="preserve">25.1k</t>
  </si>
  <si>
    <t xml:space="preserve">Totally Boise newletter/mag
totallyboise.com</t>
  </si>
  <si>
    <t xml:space="preserve">Culture Food Events People and Business.  print and digital formats</t>
  </si>
  <si>
    <t xml:space="preserve">60.9k</t>
  </si>
  <si>
    <t xml:space="preserve">IG From Boise, things to do in Boise </t>
  </si>
  <si>
    <t xml:space="preserve">newletter and collabs</t>
  </si>
  <si>
    <t xml:space="preserve">@from.boise</t>
  </si>
  <si>
    <t xml:space="preserve">31.2k</t>
  </si>
  <si>
    <t xml:space="preserve">IG Cam Filmz</t>
  </si>
  <si>
    <t xml:space="preserve">photography and videography
film, marketing and travel</t>
  </si>
  <si>
    <t xml:space="preserve">camfilmz1@gmail.com</t>
  </si>
  <si>
    <t xml:space="preserve">@cam.filmz</t>
  </si>
  <si>
    <t xml:space="preserve">15.1k</t>
  </si>
  <si>
    <t xml:space="preserve">IG Katilyn "wellness Girlies</t>
  </si>
  <si>
    <t xml:space="preserve">wellness, food, community events, travel, fashion etc</t>
  </si>
  <si>
    <t xml:space="preserve">dearboise@gmail.com</t>
  </si>
  <si>
    <t xml:space="preserve">@dear.boise</t>
  </si>
  <si>
    <t xml:space="preserve">18.2k</t>
  </si>
  <si>
    <t xml:space="preserve">Free Spirits Bev Co
https://www.freespiritsbevco.com/
518 N Curtis Rd, Boise, ID 83706</t>
  </si>
  <si>
    <t xml:space="preserve">NA spirits in Boise; bottle shop as well as a wholesaler</t>
  </si>
  <si>
    <t xml:space="preserve">This is Boise</t>
  </si>
  <si>
    <t xml:space="preserve">best of Boise and Treasure Valley.  Thankgs to do places to be and where to stay</t>
  </si>
  <si>
    <t xml:space="preserve">costs money</t>
  </si>
  <si>
    <t xml:space="preserve">@thisisboise</t>
  </si>
  <si>
    <t xml:space="preserve">115k</t>
  </si>
</sst>
</file>

<file path=xl/styles.xml><?xml version="1.0" encoding="utf-8"?>
<styleSheet xmlns="http://schemas.openxmlformats.org/spreadsheetml/2006/main">
  <numFmts count="4">
    <numFmt numFmtId="164" formatCode="General"/>
    <numFmt numFmtId="165" formatCode="m/d"/>
    <numFmt numFmtId="166" formatCode="m/d/yyyy"/>
    <numFmt numFmtId="167" formatCode="#,##0"/>
  </numFmts>
  <fonts count="22">
    <font>
      <sz val="10"/>
      <color rgb="FF000000"/>
      <name val="Arial"/>
      <family val="0"/>
      <charset val="1"/>
    </font>
    <font>
      <sz val="10"/>
      <name val="Arial"/>
      <family val="0"/>
    </font>
    <font>
      <sz val="10"/>
      <name val="Arial"/>
      <family val="0"/>
    </font>
    <font>
      <sz val="10"/>
      <name val="Arial"/>
      <family val="0"/>
    </font>
    <font>
      <b val="true"/>
      <sz val="18"/>
      <color rgb="FF5B2D8E"/>
      <name val="Georgia"/>
      <family val="0"/>
      <charset val="1"/>
    </font>
    <font>
      <sz val="11"/>
      <color rgb="FFE91E8C"/>
      <name val="Arial"/>
      <family val="0"/>
      <charset val="1"/>
    </font>
    <font>
      <b val="true"/>
      <sz val="13"/>
      <color rgb="FFFFFFFF"/>
      <name val="Arial"/>
      <family val="0"/>
      <charset val="1"/>
    </font>
    <font>
      <sz val="10"/>
      <color rgb="FF2D2D2D"/>
      <name val="Arial"/>
      <family val="0"/>
      <charset val="1"/>
    </font>
    <font>
      <b val="true"/>
      <sz val="12"/>
      <color rgb="FF5B2D8E"/>
      <name val="Arial"/>
      <family val="0"/>
      <charset val="1"/>
    </font>
    <font>
      <b val="true"/>
      <sz val="10"/>
      <color rgb="FFFFFFFF"/>
      <name val="Arial"/>
      <family val="0"/>
      <charset val="1"/>
    </font>
    <font>
      <b val="true"/>
      <sz val="11"/>
      <color rgb="FF5B2D8E"/>
      <name val="Arial"/>
      <family val="0"/>
      <charset val="1"/>
    </font>
    <font>
      <b val="true"/>
      <sz val="11"/>
      <color rgb="FFFFFFFF"/>
      <name val="Arial"/>
      <family val="0"/>
      <charset val="1"/>
    </font>
    <font>
      <b val="true"/>
      <sz val="10"/>
      <color rgb="FF5B2D8E"/>
      <name val="Arial"/>
      <family val="0"/>
      <charset val="1"/>
    </font>
    <font>
      <b val="true"/>
      <sz val="10"/>
      <color rgb="FF2E7D32"/>
      <name val="Arial"/>
      <family val="0"/>
      <charset val="1"/>
    </font>
    <font>
      <b val="true"/>
      <sz val="10"/>
      <color rgb="FFF57F17"/>
      <name val="Arial"/>
      <family val="0"/>
      <charset val="1"/>
    </font>
    <font>
      <b val="true"/>
      <sz val="10"/>
      <color rgb="FFE91E8C"/>
      <name val="Arial"/>
      <family val="0"/>
      <charset val="1"/>
    </font>
    <font>
      <b val="true"/>
      <sz val="10"/>
      <color rgb="FFE65100"/>
      <name val="Arial"/>
      <family val="0"/>
      <charset val="1"/>
    </font>
    <font>
      <sz val="11"/>
      <color theme="1"/>
      <name val="Arial"/>
      <family val="0"/>
      <charset val="1"/>
    </font>
    <font>
      <sz val="10"/>
      <color theme="1"/>
      <name val="Arial"/>
      <family val="0"/>
      <charset val="1"/>
    </font>
    <font>
      <b val="true"/>
      <sz val="11"/>
      <color theme="0"/>
      <name val="Arial"/>
      <family val="0"/>
      <charset val="1"/>
    </font>
    <font>
      <sz val="11"/>
      <color rgb="FF434343"/>
      <name val="Roboto"/>
      <family val="0"/>
      <charset val="1"/>
    </font>
    <font>
      <sz val="11"/>
      <color rgb="FF888888"/>
      <name val="Arial"/>
      <family val="0"/>
      <charset val="1"/>
    </font>
  </fonts>
  <fills count="20">
    <fill>
      <patternFill patternType="none"/>
    </fill>
    <fill>
      <patternFill patternType="gray125"/>
    </fill>
    <fill>
      <patternFill patternType="solid">
        <fgColor rgb="FF5B2D8E"/>
        <bgColor rgb="FF7B3FA0"/>
      </patternFill>
    </fill>
    <fill>
      <patternFill patternType="solid">
        <fgColor rgb="FFF0E6F6"/>
        <bgColor rgb="FFFCE4EC"/>
      </patternFill>
    </fill>
    <fill>
      <patternFill patternType="solid">
        <fgColor rgb="FFE91E8C"/>
        <bgColor rgb="FFFF00FF"/>
      </patternFill>
    </fill>
    <fill>
      <patternFill patternType="solid">
        <fgColor rgb="FF7B3FA0"/>
        <bgColor rgb="FF5B2D8E"/>
      </patternFill>
    </fill>
    <fill>
      <patternFill patternType="solid">
        <fgColor rgb="FFF5A623"/>
        <bgColor rgb="FFF57F17"/>
      </patternFill>
    </fill>
    <fill>
      <patternFill patternType="solid">
        <fgColor rgb="FFE8D5F5"/>
        <bgColor rgb="FFD9D2E9"/>
      </patternFill>
    </fill>
    <fill>
      <patternFill patternType="solid">
        <fgColor rgb="FFC8E6C9"/>
        <bgColor rgb="FFD0D0D0"/>
      </patternFill>
    </fill>
    <fill>
      <patternFill patternType="solid">
        <fgColor rgb="FFFFF9C4"/>
        <bgColor rgb="FFFFF2CC"/>
      </patternFill>
    </fill>
    <fill>
      <patternFill patternType="solid">
        <fgColor rgb="FFFCE4EC"/>
        <bgColor rgb="FFF0E6F6"/>
      </patternFill>
    </fill>
    <fill>
      <patternFill patternType="solid">
        <fgColor rgb="FFFFF3E0"/>
        <bgColor rgb="FFFFF2CC"/>
      </patternFill>
    </fill>
    <fill>
      <patternFill patternType="solid">
        <fgColor rgb="FFD9D2E9"/>
        <bgColor rgb="FFE8D5F5"/>
      </patternFill>
    </fill>
    <fill>
      <patternFill patternType="solid">
        <fgColor rgb="FFFFFFFF"/>
        <bgColor rgb="FFF6F8F9"/>
      </patternFill>
    </fill>
    <fill>
      <patternFill patternType="solid">
        <fgColor rgb="FFF6F8F9"/>
        <bgColor rgb="FFFFFFFF"/>
      </patternFill>
    </fill>
    <fill>
      <patternFill patternType="solid">
        <fgColor rgb="FFF4CCCC"/>
        <bgColor rgb="FFE8D5F5"/>
      </patternFill>
    </fill>
    <fill>
      <patternFill patternType="solid">
        <fgColor rgb="FFFFF2CC"/>
        <bgColor rgb="FFFFF9C4"/>
      </patternFill>
    </fill>
    <fill>
      <patternFill patternType="solid">
        <fgColor rgb="FF00FF00"/>
        <bgColor rgb="FF33CCCC"/>
      </patternFill>
    </fill>
    <fill>
      <patternFill patternType="solid">
        <fgColor rgb="FFFFFF00"/>
        <bgColor rgb="FFFFCC00"/>
      </patternFill>
    </fill>
    <fill>
      <patternFill patternType="solid">
        <fgColor rgb="FF38761D"/>
        <bgColor rgb="FF2E7D32"/>
      </patternFill>
    </fill>
  </fills>
  <borders count="3">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13" fillId="8"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14" fillId="9" borderId="1" xfId="0" applyFont="true" applyBorder="true" applyAlignment="true" applyProtection="false">
      <alignment horizontal="center" vertical="top" textRotation="0" wrapText="true" indent="0" shrinkToFit="false"/>
      <protection locked="true" hidden="false"/>
    </xf>
    <xf numFmtId="164" fontId="15" fillId="10" borderId="1" xfId="0" applyFont="true" applyBorder="true" applyAlignment="true" applyProtection="false">
      <alignment horizontal="center" vertical="top" textRotation="0" wrapText="true" indent="0" shrinkToFit="false"/>
      <protection locked="true" hidden="false"/>
    </xf>
    <xf numFmtId="164" fontId="16" fillId="11" borderId="1" xfId="0" applyFont="true" applyBorder="true" applyAlignment="true" applyProtection="false">
      <alignment horizontal="center"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5" fontId="7" fillId="12" borderId="1" xfId="0" applyFont="true" applyBorder="true" applyAlignment="true" applyProtection="false">
      <alignment horizontal="general" vertical="top" textRotation="0" wrapText="true" indent="0" shrinkToFit="false"/>
      <protection locked="true" hidden="false"/>
    </xf>
    <xf numFmtId="164" fontId="7" fillId="13"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5" fontId="7" fillId="13" borderId="1" xfId="0" applyFont="true" applyBorder="true" applyAlignment="true" applyProtection="false">
      <alignment horizontal="general" vertical="top" textRotation="0" wrapText="tru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xf numFmtId="164" fontId="7" fillId="15" borderId="1" xfId="0" applyFont="true" applyBorder="true" applyAlignment="true" applyProtection="false">
      <alignment horizontal="general" vertical="top" textRotation="0" wrapText="true" indent="0" shrinkToFit="false"/>
      <protection locked="true" hidden="false"/>
    </xf>
    <xf numFmtId="164" fontId="17" fillId="15" borderId="0" xfId="0" applyFont="true" applyBorder="false" applyAlignment="true" applyProtection="false">
      <alignment horizontal="general" vertical="bottom" textRotation="0" wrapText="false" indent="0" shrinkToFit="false"/>
      <protection locked="true" hidden="false"/>
    </xf>
    <xf numFmtId="164" fontId="7" fillId="16" borderId="1" xfId="0" applyFont="true" applyBorder="true" applyAlignment="true" applyProtection="false">
      <alignment horizontal="general" vertical="top" textRotation="0" wrapText="true" indent="0" shrinkToFit="false"/>
      <protection locked="true" hidden="false"/>
    </xf>
    <xf numFmtId="164" fontId="17" fillId="16" borderId="0" xfId="0" applyFont="true" applyBorder="false" applyAlignment="true" applyProtection="false">
      <alignment horizontal="general" vertical="bottom" textRotation="0" wrapText="true" indent="0" shrinkToFit="false"/>
      <protection locked="true" hidden="false"/>
    </xf>
    <xf numFmtId="164" fontId="17" fillId="16" borderId="0" xfId="0" applyFont="true" applyBorder="fals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general" vertical="top" textRotation="0" wrapText="true" indent="0" shrinkToFit="false"/>
      <protection locked="true" hidden="false"/>
    </xf>
    <xf numFmtId="166" fontId="7" fillId="13" borderId="1" xfId="0" applyFont="true" applyBorder="true" applyAlignment="true" applyProtection="false">
      <alignment horizontal="general" vertical="top" textRotation="0" wrapText="true" indent="0" shrinkToFit="false"/>
      <protection locked="true" hidden="false"/>
    </xf>
    <xf numFmtId="164" fontId="7" fillId="17" borderId="1" xfId="0" applyFont="true" applyBorder="true" applyAlignment="true" applyProtection="false">
      <alignment horizontal="general" vertical="top" textRotation="0" wrapText="true" indent="0" shrinkToFit="false"/>
      <protection locked="true" hidden="false"/>
    </xf>
    <xf numFmtId="167" fontId="7" fillId="13" borderId="1" xfId="0" applyFont="true" applyBorder="true" applyAlignment="true" applyProtection="false">
      <alignment horizontal="general" vertical="top" textRotation="0" wrapText="true" indent="0" shrinkToFit="false"/>
      <protection locked="true" hidden="false"/>
    </xf>
    <xf numFmtId="164" fontId="7" fillId="18" borderId="1" xfId="0" applyFont="true" applyBorder="true" applyAlignment="true" applyProtection="false">
      <alignment horizontal="general" vertical="top" textRotation="0" wrapText="true" indent="0" shrinkToFit="false"/>
      <protection locked="true" hidden="false"/>
    </xf>
    <xf numFmtId="164" fontId="17" fillId="12" borderId="0" xfId="0" applyFont="true" applyBorder="false" applyAlignment="true" applyProtection="false">
      <alignment horizontal="general" vertical="bottom" textRotation="0" wrapText="false" indent="0" shrinkToFit="false"/>
      <protection locked="true" hidden="false"/>
    </xf>
    <xf numFmtId="166" fontId="7" fillId="14" borderId="1" xfId="0" applyFont="true" applyBorder="true" applyAlignment="true" applyProtection="false">
      <alignment horizontal="general" vertical="top" textRotation="0" wrapText="true" indent="0" shrinkToFit="false"/>
      <protection locked="true" hidden="false"/>
    </xf>
    <xf numFmtId="165" fontId="7" fillId="14" borderId="1" xfId="0" applyFont="true" applyBorder="true" applyAlignment="true" applyProtection="false">
      <alignment horizontal="general" vertical="top" textRotation="0" wrapText="true" indent="0" shrinkToFit="false"/>
      <protection locked="true" hidden="false"/>
    </xf>
    <xf numFmtId="164" fontId="17" fillId="17" borderId="0" xfId="0" applyFont="true" applyBorder="false" applyAlignment="true" applyProtection="false">
      <alignment horizontal="general" vertical="bottom" textRotation="0" wrapText="tru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65" fontId="7" fillId="17"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17" fillId="0" borderId="2" xfId="0" applyFont="true" applyBorder="true" applyAlignment="true" applyProtection="false">
      <alignment horizontal="general" vertical="bottom" textRotation="0" wrapText="false" indent="0" shrinkToFit="false"/>
      <protection locked="true" hidden="false"/>
    </xf>
    <xf numFmtId="164" fontId="17" fillId="15" borderId="2" xfId="0" applyFont="true" applyBorder="true" applyAlignment="true" applyProtection="false">
      <alignment horizontal="general" vertical="bottom" textRotation="0" wrapText="false" indent="0" shrinkToFit="false"/>
      <protection locked="true" hidden="false"/>
    </xf>
    <xf numFmtId="164" fontId="17" fillId="13" borderId="2" xfId="0" applyFont="true" applyBorder="true" applyAlignment="true" applyProtection="false">
      <alignment horizontal="general" vertical="bottom" textRotation="0" wrapText="false" indent="0" shrinkToFit="false"/>
      <protection locked="true" hidden="false"/>
    </xf>
    <xf numFmtId="164" fontId="17" fillId="13" borderId="2" xfId="0" applyFont="true" applyBorder="true" applyAlignment="true" applyProtection="false">
      <alignment horizontal="general" vertical="bottom" textRotation="0" wrapText="true" indent="0" shrinkToFit="false"/>
      <protection locked="true" hidden="false"/>
    </xf>
    <xf numFmtId="164" fontId="17" fillId="17" borderId="2" xfId="0" applyFont="true" applyBorder="true" applyAlignment="true" applyProtection="false">
      <alignment horizontal="general" vertical="bottom" textRotation="0" wrapText="false" indent="0" shrinkToFit="false"/>
      <protection locked="true" hidden="false"/>
    </xf>
    <xf numFmtId="164" fontId="17" fillId="12" borderId="2" xfId="0" applyFont="true" applyBorder="true" applyAlignment="true" applyProtection="false">
      <alignment horizontal="general" vertical="bottom" textRotation="0" wrapText="false" indent="0" shrinkToFit="false"/>
      <protection locked="true" hidden="false"/>
    </xf>
    <xf numFmtId="164" fontId="11" fillId="19" borderId="2" xfId="0" applyFont="true" applyBorder="true" applyAlignment="true" applyProtection="false">
      <alignment horizontal="general" vertical="center" textRotation="0" wrapText="true" indent="0" shrinkToFit="false"/>
      <protection locked="true" hidden="false"/>
    </xf>
    <xf numFmtId="164" fontId="19" fillId="19" borderId="2" xfId="0" applyFont="true" applyBorder="true" applyAlignment="true" applyProtection="false">
      <alignment horizontal="general" vertical="center" textRotation="0" wrapText="true" indent="0" shrinkToFit="false"/>
      <protection locked="true" hidden="false"/>
    </xf>
    <xf numFmtId="164" fontId="17" fillId="13" borderId="2" xfId="0" applyFont="true" applyBorder="true" applyAlignment="true" applyProtection="false">
      <alignment horizontal="general" vertical="top" textRotation="0" wrapText="true" indent="0" shrinkToFit="false"/>
      <protection locked="true" hidden="false"/>
    </xf>
    <xf numFmtId="164" fontId="20" fillId="13" borderId="2" xfId="0" applyFont="true" applyBorder="true" applyAlignment="true" applyProtection="false">
      <alignment horizontal="center" vertical="top" textRotation="0" wrapText="true" indent="0" shrinkToFit="false"/>
      <protection locked="true" hidden="false"/>
    </xf>
    <xf numFmtId="164" fontId="17" fillId="13" borderId="2" xfId="0" applyFont="true" applyBorder="true" applyAlignment="true" applyProtection="false">
      <alignment horizontal="center" vertical="top" textRotation="0" wrapText="true" indent="0" shrinkToFit="false"/>
      <protection locked="true" hidden="false"/>
    </xf>
    <xf numFmtId="165" fontId="17" fillId="13" borderId="2" xfId="0" applyFont="true" applyBorder="true" applyAlignment="true" applyProtection="false">
      <alignment horizontal="center" vertical="top" textRotation="0" wrapText="true" indent="0" shrinkToFit="false"/>
      <protection locked="true" hidden="false"/>
    </xf>
    <xf numFmtId="164" fontId="17" fillId="13"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fals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center" vertical="top" textRotation="0" wrapText="true" indent="0" shrinkToFit="false"/>
      <protection locked="true" hidden="false"/>
    </xf>
    <xf numFmtId="164" fontId="21" fillId="13"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18" fillId="0" borderId="0" xfId="0" applyFont="true" applyBorder="false" applyAlignment="true" applyProtection="false">
      <alignment horizontal="center" vertical="bottom" textRotation="0" wrapText="true" indent="0" shrinkToFit="false"/>
      <protection locked="true" hidden="false"/>
    </xf>
    <xf numFmtId="164" fontId="17" fillId="0" borderId="0" xfId="0" applyFont="true" applyBorder="false" applyAlignment="true" applyProtection="false">
      <alignment horizontal="center" vertical="bottom" textRotation="0" wrapText="true" indent="0" shrinkToFit="false"/>
      <protection locked="true" hidden="false"/>
    </xf>
    <xf numFmtId="164" fontId="21" fillId="13"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7" fontId="7" fillId="3" borderId="1" xfId="0" applyFont="true" applyBorder="true" applyAlignment="true" applyProtection="false">
      <alignment horizontal="general" vertical="top" textRotation="0" wrapText="true" indent="0" shrinkToFit="false"/>
      <protection locked="true" hidden="false"/>
    </xf>
    <xf numFmtId="164" fontId="17" fillId="0" borderId="2" xfId="0" applyFont="true" applyBorder="true" applyAlignment="true" applyProtection="false">
      <alignment horizontal="general" vertical="top" textRotation="0" wrapText="true" indent="0" shrinkToFit="false"/>
      <protection locked="true" hidden="false"/>
    </xf>
    <xf numFmtId="164" fontId="17" fillId="0" borderId="2"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patternType="solid">
          <fgColor rgb="FF5B2D8E"/>
          <bgColor rgb="FF000000"/>
        </patternFill>
      </fill>
    </dxf>
    <dxf>
      <fill>
        <patternFill patternType="solid">
          <fgColor rgb="FFE8D5F5"/>
          <bgColor rgb="FF000000"/>
        </patternFill>
      </fill>
    </dxf>
    <dxf>
      <fill>
        <patternFill patternType="solid">
          <fgColor rgb="FFFCE4EC"/>
          <bgColor rgb="FF000000"/>
        </patternFill>
      </fill>
    </dxf>
    <dxf>
      <fill>
        <patternFill patternType="solid">
          <fgColor rgb="FFFFF3E0"/>
          <bgColor rgb="FF000000"/>
        </patternFill>
      </fill>
    </dxf>
    <dxf>
      <fill>
        <patternFill patternType="solid">
          <fgColor rgb="FFE65100"/>
          <bgColor rgb="FF000000"/>
        </patternFill>
      </fill>
    </dxf>
    <dxf>
      <fill>
        <patternFill patternType="solid">
          <fgColor rgb="FFE91E8C"/>
          <bgColor rgb="FF000000"/>
        </patternFill>
      </fill>
    </dxf>
    <dxf>
      <fill>
        <patternFill patternType="solid">
          <fgColor rgb="FFFFFFFF"/>
          <bgColor rgb="FF000000"/>
        </patternFill>
      </fill>
    </dxf>
    <dxf>
      <fill>
        <patternFill patternType="solid">
          <fgColor rgb="FFF0E6F6"/>
          <bgColor rgb="FF000000"/>
        </patternFill>
      </fill>
    </dxf>
    <dxf>
      <fill>
        <patternFill patternType="solid">
          <bgColor rgb="FF000000"/>
        </patternFill>
      </fill>
    </dxf>
    <dxf>
      <fill>
        <patternFill patternType="solid">
          <fgColor rgb="FF2D2D2D"/>
          <bgColor rgb="FF000000"/>
        </patternFill>
      </fill>
    </dxf>
    <dxf>
      <fill>
        <patternFill patternType="solid">
          <fgColor rgb="FFC8E6C9"/>
          <bgColor rgb="FF000000"/>
        </patternFill>
      </fill>
    </dxf>
    <dxf>
      <fill>
        <patternFill patternType="solid">
          <fgColor rgb="FFFFF9C4"/>
          <bgColor rgb="FF000000"/>
        </patternFill>
      </fill>
    </dxf>
    <dxf>
      <fill>
        <patternFill patternType="solid">
          <fgColor rgb="FF2E7D32"/>
          <bgColor rgb="FF000000"/>
        </patternFill>
      </fill>
    </dxf>
    <dxf>
      <fill>
        <patternFill patternType="solid">
          <fgColor rgb="FFF57F17"/>
          <bgColor rgb="FF000000"/>
        </patternFill>
      </fill>
    </dxf>
    <dxf>
      <fill>
        <patternFill patternType="solid">
          <fgColor rgb="FF00FF00"/>
          <bgColor rgb="FF000000"/>
        </patternFill>
      </fill>
    </dxf>
    <dxf>
      <fill>
        <patternFill patternType="solid">
          <fgColor rgb="FFD9D2E9"/>
          <bgColor rgb="FF000000"/>
        </patternFill>
      </fill>
    </dxf>
    <dxf>
      <fill>
        <patternFill patternType="solid">
          <fgColor rgb="FFF6F8F9"/>
          <bgColor rgb="FF000000"/>
        </patternFill>
      </fill>
    </dxf>
    <dxf>
      <fill>
        <patternFill patternType="solid">
          <fgColor rgb="FFFFFF00"/>
          <bgColor rgb="FF000000"/>
        </patternFill>
      </fill>
    </dxf>
    <dxf>
      <fill>
        <patternFill patternType="solid">
          <fgColor rgb="FFF4CCCC"/>
          <bgColor rgb="FF000000"/>
        </patternFill>
      </fill>
    </dxf>
    <dxf>
      <fill>
        <patternFill patternType="solid">
          <fgColor rgb="FFFFF2CC"/>
          <bgColor rgb="FF000000"/>
        </patternFill>
      </fill>
    </dxf>
    <dxf>
      <fill>
        <patternFill patternType="solid">
          <fgColor rgb="FF434343"/>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E91E8C"/>
      <rgbColor rgb="FF00FFFF"/>
      <rgbColor rgb="FF800000"/>
      <rgbColor rgb="FF38761D"/>
      <rgbColor rgb="FF000080"/>
      <rgbColor rgb="FF808000"/>
      <rgbColor rgb="FF800080"/>
      <rgbColor rgb="FF008080"/>
      <rgbColor rgb="FFD0D0D0"/>
      <rgbColor rgb="FF888888"/>
      <rgbColor rgb="FF9999FF"/>
      <rgbColor rgb="FF7B3FA0"/>
      <rgbColor rgb="FFFFF9C4"/>
      <rgbColor rgb="FFF6F8F9"/>
      <rgbColor rgb="FF660066"/>
      <rgbColor rgb="FFF57F17"/>
      <rgbColor rgb="FF0066CC"/>
      <rgbColor rgb="FFD9D2E9"/>
      <rgbColor rgb="FF000080"/>
      <rgbColor rgb="FFFF00FF"/>
      <rgbColor rgb="FFFFF3E0"/>
      <rgbColor rgb="FF00FFFF"/>
      <rgbColor rgb="FF800080"/>
      <rgbColor rgb="FF800000"/>
      <rgbColor rgb="FF008080"/>
      <rgbColor rgb="FF0000FF"/>
      <rgbColor rgb="FF00CCFF"/>
      <rgbColor rgb="FFF0E6F6"/>
      <rgbColor rgb="FFC8E6C9"/>
      <rgbColor rgb="FFFFF2CC"/>
      <rgbColor rgb="FFE8D5F5"/>
      <rgbColor rgb="FFFCE4EC"/>
      <rgbColor rgb="FFCC99FF"/>
      <rgbColor rgb="FFF4CCCC"/>
      <rgbColor rgb="FF3366FF"/>
      <rgbColor rgb="FF33CCCC"/>
      <rgbColor rgb="FF99CC00"/>
      <rgbColor rgb="FFFFCC00"/>
      <rgbColor rgb="FFF5A623"/>
      <rgbColor rgb="FFE65100"/>
      <rgbColor rgb="FF666699"/>
      <rgbColor rgb="FF6AA84F"/>
      <rgbColor rgb="FF003366"/>
      <rgbColor rgb="FF2E7D32"/>
      <rgbColor rgb="FF003300"/>
      <rgbColor rgb="FF434343"/>
      <rgbColor rgb="FF993300"/>
      <rgbColor rgb="FF993366"/>
      <rgbColor rgb="FF5B2D8E"/>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_1" displayName="Table_1" ref="B2:K69" headerRowCount="0" totalsRowCount="0" totalsRowShown="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
</file>

<file path=xl/tables/table2.xml><?xml version="1.0" encoding="utf-8"?>
<table xmlns="http://schemas.openxmlformats.org/spreadsheetml/2006/main" id="2" name="Table_10" displayName="Table_10" ref="B251:K251" headerRowCount="0" totalsRowCount="0" totalsRowShown="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
</file>

<file path=xl/tables/table3.xml><?xml version="1.0" encoding="utf-8"?>
<table xmlns="http://schemas.openxmlformats.org/spreadsheetml/2006/main" id="3" name="Table_11" displayName="Table_11" ref="B252:K252" headerRowCount="0" totalsRowCount="0" totalsRowShown="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
</file>

<file path=xl/tables/table4.xml><?xml version="1.0" encoding="utf-8"?>
<table xmlns="http://schemas.openxmlformats.org/spreadsheetml/2006/main" id="4" name="Table_12" displayName="Table_12" ref="B309:K309" headerRowCount="0" totalsRowCount="0" totalsRowShown="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
</file>

<file path=xl/tables/table5.xml><?xml version="1.0" encoding="utf-8"?>
<table xmlns="http://schemas.openxmlformats.org/spreadsheetml/2006/main" id="5" name="Table_13" displayName="Table_13" ref="B313:K322" headerRowCount="0" totalsRowCount="0" totalsRowShown="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
</file>

<file path=xl/tables/table6.xml><?xml version="1.0" encoding="utf-8"?>
<table xmlns="http://schemas.openxmlformats.org/spreadsheetml/2006/main" id="6" name="Table_14" displayName="Table_14" ref="B2:J2" headerRowCount="0" totalsRowCount="0" totalsRowShown="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
</file>

<file path=xl/tables/table7.xml><?xml version="1.0" encoding="utf-8"?>
<table xmlns="http://schemas.openxmlformats.org/spreadsheetml/2006/main" id="7" name="Table_15" displayName="Table_15" ref="B3:J3" headerRowCount="0" totalsRowCount="0" totalsRowShown="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
</file>

<file path=xl/tables/table8.xml><?xml version="1.0" encoding="utf-8"?>
<table xmlns="http://schemas.openxmlformats.org/spreadsheetml/2006/main" id="8" name="Table_16" displayName="Table_16" ref="B3:K6" headerRowCount="0" totalsRowCount="0" totalsRowShown="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
</file>

<file path=xl/tables/table9.xml><?xml version="1.0" encoding="utf-8"?>
<table xmlns="http://schemas.openxmlformats.org/spreadsheetml/2006/main" id="9" name="Table_17" displayName="Table_17" ref="B7:K30" headerRowCount="0" totalsRowCount="0" totalsRowShown="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
</file>

<file path=xl/tables/table10.xml><?xml version="1.0" encoding="utf-8"?>
<table xmlns="http://schemas.openxmlformats.org/spreadsheetml/2006/main" id="10" name="Table_18" displayName="Table_18" ref="G2:H2" headerRowCount="0" totalsRowCount="0" totalsRowShown="0">
  <tableColumns count="2">
    <tableColumn id="1" name="Column1"/>
    <tableColumn id="2" name="Column2"/>
  </tableColumns>
</table>
</file>

<file path=xl/tables/table11.xml><?xml version="1.0" encoding="utf-8"?>
<table xmlns="http://schemas.openxmlformats.org/spreadsheetml/2006/main" id="11" name="Table_19" displayName="Table_19" ref="B4:H26" headerRowCount="0" totalsRowCount="0" totalsRowShown="0">
  <tableColumns count="7">
    <tableColumn id="1" name="Column1"/>
    <tableColumn id="2" name="Column2"/>
    <tableColumn id="3" name="Column3"/>
    <tableColumn id="4" name="Column4"/>
    <tableColumn id="5" name="Column5"/>
    <tableColumn id="6" name="Column6"/>
    <tableColumn id="7" name="Column7"/>
  </tableColumns>
</table>
</file>

<file path=xl/tables/table12.xml><?xml version="1.0" encoding="utf-8"?>
<table xmlns="http://schemas.openxmlformats.org/spreadsheetml/2006/main" id="12" name="Table_2" displayName="Table_2" ref="A5:A83" headerRowCount="0" totalsRowCount="0" totalsRowShown="0">
  <tableColumns count="1">
    <tableColumn id="1" name="Column1"/>
  </tableColumns>
</table>
</file>

<file path=xl/tables/table13.xml><?xml version="1.0" encoding="utf-8"?>
<table xmlns="http://schemas.openxmlformats.org/spreadsheetml/2006/main" id="13" name="Table_3" displayName="Table_3" ref="B70:J71" headerRowCount="0" totalsRowCount="0" totalsRowShown="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
</file>

<file path=xl/tables/table14.xml><?xml version="1.0" encoding="utf-8"?>
<table xmlns="http://schemas.openxmlformats.org/spreadsheetml/2006/main" id="14" name="Table_4" displayName="Table_4" ref="A84:A85" headerRowCount="0" totalsRowCount="0" totalsRowShown="0">
  <tableColumns count="1">
    <tableColumn id="1" name="Column1"/>
  </tableColumns>
</table>
</file>

<file path=xl/tables/table15.xml><?xml version="1.0" encoding="utf-8"?>
<table xmlns="http://schemas.openxmlformats.org/spreadsheetml/2006/main" id="15" name="Table_5" displayName="Table_5" ref="B225:K228" headerRowCount="0" totalsRowCount="0" totalsRowShown="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
</file>

<file path=xl/tables/table16.xml><?xml version="1.0" encoding="utf-8"?>
<table xmlns="http://schemas.openxmlformats.org/spreadsheetml/2006/main" id="16" name="Table_6" displayName="Table_6" ref="B229:K247" headerRowCount="0" totalsRowCount="0" totalsRowShown="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
</file>

<file path=xl/tables/table17.xml><?xml version="1.0" encoding="utf-8"?>
<table xmlns="http://schemas.openxmlformats.org/spreadsheetml/2006/main" id="17" name="Table_7" displayName="Table_7" ref="B248:K248" headerRowCount="0" totalsRowCount="0" totalsRowShown="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
</file>

<file path=xl/tables/table18.xml><?xml version="1.0" encoding="utf-8"?>
<table xmlns="http://schemas.openxmlformats.org/spreadsheetml/2006/main" id="18" name="Table_8" displayName="Table_8" ref="B249:K249" headerRowCount="0" totalsRowCount="0" totalsRowShown="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
</file>

<file path=xl/tables/table19.xml><?xml version="1.0" encoding="utf-8"?>
<table xmlns="http://schemas.openxmlformats.org/spreadsheetml/2006/main" id="19" name="Table_9" displayName="Table_9" ref="B250:K250" headerRowCount="0" totalsRowCount="0" totalsRowShown="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sagebrushcollaborative.com/" TargetMode="External"/><Relationship Id="rId2" Type="http://schemas.openxmlformats.org/officeDocument/2006/relationships/hyperlink" Target="https://www.rosagardencity.com/" TargetMode="External"/><Relationship Id="rId3" Type="http://schemas.openxmlformats.org/officeDocument/2006/relationships/hyperlink" Target="https://www.wylderhospitalitygroup.com/" TargetMode="External"/><Relationship Id="rId4" Type="http://schemas.openxmlformats.org/officeDocument/2006/relationships/hyperlink" Target="https://www.roseentertainmentpnw.com/" TargetMode="External"/><Relationship Id="rId5" Type="http://schemas.openxmlformats.org/officeDocument/2006/relationships/hyperlink" Target="https://boise-creative.com/" TargetMode="External"/><Relationship Id="rId6" Type="http://schemas.openxmlformats.org/officeDocument/2006/relationships/hyperlink" Target="https://hyperluxmagazine.com/category/art/" TargetMode="External"/><Relationship Id="rId7" Type="http://schemas.openxmlformats.org/officeDocument/2006/relationships/hyperlink" Target="https://www.montana.edu/search/departments.html?mus.q=&amp;gsc.q=&amp;mus.d=10" TargetMode="External"/><Relationship Id="rId8" Type="http://schemas.openxmlformats.org/officeDocument/2006/relationships/hyperlink" Target="mailto:hello@thesapphiremotel.com" TargetMode="External"/><Relationship Id="rId9" Type="http://schemas.openxmlformats.org/officeDocument/2006/relationships/hyperlink" Target="mailto:bessie.hudgens@bhhsmt.com?" TargetMode="External"/><Relationship Id="rId10" Type="http://schemas.openxmlformats.org/officeDocument/2006/relationships/hyperlink" Target="https://denverpublicart.org/" TargetMode="External"/><Relationship Id="rId11" Type="http://schemas.openxmlformats.org/officeDocument/2006/relationships/hyperlink" Target="https://prodigyventures.org/contact/" TargetMode="External"/><Relationship Id="rId12" Type="http://schemas.openxmlformats.org/officeDocument/2006/relationships/hyperlink" Target="https://drinkolipop.com/pages/affiliate-program" TargetMode="External"/><Relationship Id="rId13" Type="http://schemas.openxmlformats.org/officeDocument/2006/relationships/hyperlink" Target="https://drinkolipop.com/pages/affiliate-program" TargetMode="External"/><Relationship Id="rId14" Type="http://schemas.openxmlformats.org/officeDocument/2006/relationships/hyperlink" Target="mailto:joe.ferraro@avisbudget.com" TargetMode="External"/><Relationship Id="rId15" Type="http://schemas.openxmlformats.org/officeDocument/2006/relationships/hyperlink" Target="https://traveloregon.com/write-travel-oregon/" TargetMode="External"/><Relationship Id="rId16" Type="http://schemas.openxmlformats.org/officeDocument/2006/relationships/hyperlink" Target="https://portland-catering.com/" TargetMode="External"/><Relationship Id="rId17" Type="http://schemas.openxmlformats.org/officeDocument/2006/relationships/hyperlink" Target="mailto:mark@cravepdx.com" TargetMode="External"/><Relationship Id="rId18" Type="http://schemas.openxmlformats.org/officeDocument/2006/relationships/hyperlink" Target="http://djswithstyle.com/" TargetMode="External"/><Relationship Id="rId19" Type="http://schemas.openxmlformats.org/officeDocument/2006/relationships/hyperlink" Target="https://theplatfrm.com/" TargetMode="External"/><Relationship Id="rId20" Type="http://schemas.openxmlformats.org/officeDocument/2006/relationships/hyperlink" Target="https://cathedralcoffee.com/pages/the-cathedral-story" TargetMode="External"/><Relationship Id="rId21" Type="http://schemas.openxmlformats.org/officeDocument/2006/relationships/hyperlink" Target="https://www.altarpdx.com/pages/about-us" TargetMode="External"/><Relationship Id="rId22" Type="http://schemas.openxmlformats.org/officeDocument/2006/relationships/hyperlink" Target="https://www.presentsofmind.tv/about-presentsofmind-gifts" TargetMode="External"/><Relationship Id="rId23" Type="http://schemas.openxmlformats.org/officeDocument/2006/relationships/hyperlink" Target="https://shopredlight.com/" TargetMode="External"/><Relationship Id="rId24" Type="http://schemas.openxmlformats.org/officeDocument/2006/relationships/hyperlink" Target="https://montavillabrew.com/" TargetMode="External"/><Relationship Id="rId25" Type="http://schemas.openxmlformats.org/officeDocument/2006/relationships/hyperlink" Target="https://www.rwest.com/contact/" TargetMode="External"/><Relationship Id="rId26" Type="http://schemas.openxmlformats.org/officeDocument/2006/relationships/hyperlink" Target="https://www.holocene.org/" TargetMode="External"/><Relationship Id="rId27" Type="http://schemas.openxmlformats.org/officeDocument/2006/relationships/hyperlink" Target="mailto:hc@holocene.org" TargetMode="External"/><Relationship Id="rId28" Type="http://schemas.openxmlformats.org/officeDocument/2006/relationships/hyperlink" Target="http://eastcreativepdx.org/" TargetMode="External"/><Relationship Id="rId29" Type="http://schemas.openxmlformats.org/officeDocument/2006/relationships/hyperlink" Target="https://kinshippdx.com/" TargetMode="External"/><Relationship Id="rId30" Type="http://schemas.openxmlformats.org/officeDocument/2006/relationships/hyperlink" Target="https://www.instagram.com/therapeuticassociatespt/" TargetMode="External"/><Relationship Id="rId31" Type="http://schemas.openxmlformats.org/officeDocument/2006/relationships/hyperlink" Target="mailto:info@ringcraftmuaythai.com" TargetMode="External"/><Relationship Id="rId32" Type="http://schemas.openxmlformats.org/officeDocument/2006/relationships/hyperlink" Target="https://www.instagram.com/barberq_portland/" TargetMode="External"/><Relationship Id="rId33" Type="http://schemas.openxmlformats.org/officeDocument/2006/relationships/hyperlink" Target="https://thewholebowl.com/" TargetMode="External"/><Relationship Id="rId34" Type="http://schemas.openxmlformats.org/officeDocument/2006/relationships/hyperlink" Target="https://www.weirdportlandunited.org/" TargetMode="External"/><Relationship Id="rId35" Type="http://schemas.openxmlformats.org/officeDocument/2006/relationships/hyperlink" Target="http://subpop.com/" TargetMode="External"/><Relationship Id="rId36" Type="http://schemas.openxmlformats.org/officeDocument/2006/relationships/hyperlink" Target="https://foguestudios.com/" TargetMode="External"/><Relationship Id="rId37" Type="http://schemas.openxmlformats.org/officeDocument/2006/relationships/hyperlink" Target="https://www.allthebestpetcare.com/locations-and-hours/best-pet-store-in-ballard/" TargetMode="External"/><Relationship Id="rId38" Type="http://schemas.openxmlformats.org/officeDocument/2006/relationships/hyperlink" Target="https://stumbletownseattle.com/" TargetMode="External"/><Relationship Id="rId39" Type="http://schemas.openxmlformats.org/officeDocument/2006/relationships/hyperlink" Target="http://black.cat/" TargetMode="External"/><Relationship Id="rId40" Type="http://schemas.openxmlformats.org/officeDocument/2006/relationships/hyperlink" Target="mailto:leesideskatepark@gmail.com" TargetMode="External"/><Relationship Id="rId41" Type="http://schemas.openxmlformats.org/officeDocument/2006/relationships/hyperlink" Target="https://docs.google.com/spreadsheets/u/0/d/1eBhosfyQTdpINwnyl7GAjU_801RoRXyxmla8uRbQU1Q/edit" TargetMode="External"/><Relationship Id="rId42" Type="http://schemas.openxmlformats.org/officeDocument/2006/relationships/hyperlink" Target="https://caffeartigiano.com/" TargetMode="External"/><Relationship Id="rId43" Type="http://schemas.openxmlformats.org/officeDocument/2006/relationships/hyperlink" Target="https://www.instagram.com/explore/locations/250042503/gene-coffee-bar-fanpage/" TargetMode="External"/><Relationship Id="rId44" Type="http://schemas.openxmlformats.org/officeDocument/2006/relationships/drawing" Target="../drawings/drawing2.xml"/><Relationship Id="rId45" Type="http://schemas.openxmlformats.org/officeDocument/2006/relationships/table" Target="../tables/table1.xml"/><Relationship Id="rId46" Type="http://schemas.openxmlformats.org/officeDocument/2006/relationships/table" Target="../tables/table2.xml"/><Relationship Id="rId47" Type="http://schemas.openxmlformats.org/officeDocument/2006/relationships/table" Target="../tables/table3.xml"/><Relationship Id="rId48" Type="http://schemas.openxmlformats.org/officeDocument/2006/relationships/table" Target="../tables/table4.xml"/><Relationship Id="rId49" Type="http://schemas.openxmlformats.org/officeDocument/2006/relationships/table" Target="../tables/table5.xml"/><Relationship Id="rId50" Type="http://schemas.openxmlformats.org/officeDocument/2006/relationships/table" Target="../tables/table12.xml"/><Relationship Id="rId51" Type="http://schemas.openxmlformats.org/officeDocument/2006/relationships/table" Target="../tables/table13.xml"/><Relationship Id="rId52" Type="http://schemas.openxmlformats.org/officeDocument/2006/relationships/table" Target="../tables/table14.xml"/><Relationship Id="rId53" Type="http://schemas.openxmlformats.org/officeDocument/2006/relationships/table" Target="../tables/table15.xml"/><Relationship Id="rId54" Type="http://schemas.openxmlformats.org/officeDocument/2006/relationships/table" Target="../tables/table16.xml"/><Relationship Id="rId55" Type="http://schemas.openxmlformats.org/officeDocument/2006/relationships/table" Target="../tables/table17.xml"/><Relationship Id="rId56" Type="http://schemas.openxmlformats.org/officeDocument/2006/relationships/table" Target="../tables/table18.xml"/><Relationship Id="rId57" Type="http://schemas.openxmlformats.org/officeDocument/2006/relationships/table" Target="../tables/table19.xml"/>
</Relationships>
</file>

<file path=xl/worksheets/_rels/sheet4.xml.rels><?xml version="1.0" encoding="UTF-8"?>
<Relationships xmlns="http://schemas.openxmlformats.org/package/2006/relationships"><Relationship Id="rId1" Type="http://schemas.openxmlformats.org/officeDocument/2006/relationships/table" Target="../tables/table6.xml"/><Relationship Id="rId2" Type="http://schemas.openxmlformats.org/officeDocument/2006/relationships/table" Target="../tables/table7.xml"/>
</Relationships>
</file>

<file path=xl/worksheets/_rels/sheet5.xml.rels><?xml version="1.0" encoding="UTF-8"?>
<Relationships xmlns="http://schemas.openxmlformats.org/package/2006/relationships"><Relationship Id="rId1" Type="http://schemas.openxmlformats.org/officeDocument/2006/relationships/hyperlink" Target="http://evamoss.com/" TargetMode="External"/><Relationship Id="rId2" Type="http://schemas.openxmlformats.org/officeDocument/2006/relationships/hyperlink" Target="https://www.upwork.com/freelancers/~01154668a459da6b2b?mp_source=share" TargetMode="External"/><Relationship Id="rId3" Type="http://schemas.openxmlformats.org/officeDocument/2006/relationships/hyperlink" Target="https://lorddscreation.myportfolio.com/about" TargetMode="External"/><Relationship Id="rId4" Type="http://schemas.openxmlformats.org/officeDocument/2006/relationships/table" Target="../tables/table8.xml"/><Relationship Id="rId5" Type="http://schemas.openxmlformats.org/officeDocument/2006/relationships/table" Target="../tables/table9.xml"/>
</Relationships>
</file>

<file path=xl/worksheets/_rels/sheet7.xml.rels><?xml version="1.0" encoding="UTF-8"?>
<Relationships xmlns="http://schemas.openxmlformats.org/package/2006/relationships"><Relationship Id="rId1" Type="http://schemas.openxmlformats.org/officeDocument/2006/relationships/hyperlink" Target="http://jetpackjohnson.com/" TargetMode="External"/><Relationship Id="rId2" Type="http://schemas.openxmlformats.org/officeDocument/2006/relationships/hyperlink" Target="http://coleeisenhour.com/" TargetMode="External"/><Relationship Id="rId3" Type="http://schemas.openxmlformats.org/officeDocument/2006/relationships/hyperlink" Target="http://totallyboise.com/" TargetMode="External"/><Relationship Id="rId4" Type="http://schemas.openxmlformats.org/officeDocument/2006/relationships/drawing" Target="../drawings/drawing3.xml"/><Relationship Id="rId5" Type="http://schemas.openxmlformats.org/officeDocument/2006/relationships/table" Target="../tables/table10.xml"/><Relationship Id="rId6" Type="http://schemas.openxmlformats.org/officeDocument/2006/relationships/table" Target="../tables/table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3" min="2" style="1" width="14"/>
  </cols>
  <sheetData>
    <row r="1" customFormat="false" ht="21.75"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3" customFormat="false" ht="15" hidden="false" customHeight="false" outlineLevel="0" collapsed="false"/>
    <row r="4" customFormat="false" ht="15.75" hidden="false" customHeight="true" outlineLevel="0" collapsed="false">
      <c r="A4" s="4" t="s">
        <v>2</v>
      </c>
      <c r="B4" s="5"/>
      <c r="C4" s="5"/>
      <c r="D4" s="5"/>
      <c r="E4" s="5"/>
      <c r="F4" s="5"/>
    </row>
    <row r="5" customFormat="false" ht="15" hidden="false" customHeight="true" outlineLevel="0" collapsed="false">
      <c r="A5" s="6" t="s">
        <v>3</v>
      </c>
      <c r="B5" s="7" t="n">
        <f aca="false">COUNTA('2025 Outreach'!B2:B500)</f>
        <v>334</v>
      </c>
    </row>
    <row r="6" customFormat="false" ht="15" hidden="false" customHeight="true" outlineLevel="0" collapsed="false">
      <c r="A6" s="8" t="s">
        <v>4</v>
      </c>
      <c r="B6" s="9" t="n">
        <f aca="false">COUNTIF('2025 Outreach'!J2:J500,"No response")</f>
        <v>76</v>
      </c>
    </row>
    <row r="7" customFormat="false" ht="15" hidden="false" customHeight="true" outlineLevel="0" collapsed="false">
      <c r="A7" s="6" t="s">
        <v>5</v>
      </c>
      <c r="B7" s="7" t="n">
        <f aca="false">COUNTIF('2025 Outreach'!J2:J500,"Declined")</f>
        <v>11</v>
      </c>
    </row>
    <row r="8" customFormat="false" ht="15" hidden="false" customHeight="true" outlineLevel="0" collapsed="false">
      <c r="A8" s="8" t="s">
        <v>6</v>
      </c>
      <c r="B8" s="9" t="n">
        <f aca="false">COUNTIF('2025 Outreach'!J2:J500,"In conversation")</f>
        <v>2</v>
      </c>
    </row>
    <row r="9" customFormat="false" ht="15" hidden="false" customHeight="true" outlineLevel="0" collapsed="false">
      <c r="A9" s="6" t="s">
        <v>7</v>
      </c>
      <c r="B9" s="7" t="n">
        <f aca="false">COUNTIF('2025 Outreach'!J2:J500,"Confirmed Sponsor")</f>
        <v>2</v>
      </c>
    </row>
    <row r="10" customFormat="false" ht="15" hidden="false" customHeight="true" outlineLevel="0" collapsed="false">
      <c r="A10" s="8" t="s">
        <v>8</v>
      </c>
      <c r="B10" s="9" t="n">
        <f aca="false">COUNTIF('2025 Outreach'!J2:J500,"2026 High Potential")</f>
        <v>10</v>
      </c>
    </row>
    <row r="11" customFormat="false" ht="15" hidden="false" customHeight="true" outlineLevel="0" collapsed="false">
      <c r="A11" s="6" t="s">
        <v>9</v>
      </c>
      <c r="B11" s="7" t="n">
        <f aca="false">COUNTIF('2025 Outreach'!J:J,"*Closed*")</f>
        <v>4</v>
      </c>
    </row>
    <row r="12" customFormat="false" ht="15" hidden="false" customHeight="true" outlineLevel="0" collapsed="false">
      <c r="A12" s="8" t="s">
        <v>10</v>
      </c>
      <c r="B12" s="9" t="n">
        <f aca="false">COUNTIF('2025 Outreach'!J2:J500,"Not contacted")</f>
        <v>41</v>
      </c>
    </row>
    <row r="13" customFormat="false" ht="15" hidden="false" customHeight="false" outlineLevel="0" collapsed="false"/>
    <row r="14" customFormat="false" ht="15.75" hidden="false" customHeight="true" outlineLevel="0" collapsed="false">
      <c r="A14" s="10" t="s">
        <v>11</v>
      </c>
      <c r="B14" s="11"/>
      <c r="C14" s="11"/>
      <c r="D14" s="11"/>
      <c r="E14" s="11"/>
      <c r="F14" s="11"/>
    </row>
    <row r="15" customFormat="false" ht="15" hidden="false" customHeight="true" outlineLevel="0" collapsed="false">
      <c r="A15" s="12" t="s">
        <v>12</v>
      </c>
      <c r="B15" s="12" t="s">
        <v>13</v>
      </c>
    </row>
    <row r="16" customFormat="false" ht="15" hidden="false" customHeight="true" outlineLevel="0" collapsed="false">
      <c r="A16" s="6" t="s">
        <v>14</v>
      </c>
      <c r="B16" s="13" t="n">
        <f aca="false">COUNTIF('2025 Outreach'!A2:A500,"Portland")</f>
        <v>71</v>
      </c>
    </row>
    <row r="17" customFormat="false" ht="15" hidden="false" customHeight="true" outlineLevel="0" collapsed="false">
      <c r="A17" s="8" t="s">
        <v>15</v>
      </c>
      <c r="B17" s="14" t="n">
        <f aca="false">COUNTIF('2025 Outreach'!A2:A500,"Seattle")</f>
        <v>55</v>
      </c>
    </row>
    <row r="18" customFormat="false" ht="15" hidden="false" customHeight="true" outlineLevel="0" collapsed="false">
      <c r="A18" s="6" t="s">
        <v>16</v>
      </c>
      <c r="B18" s="13" t="n">
        <f aca="false">COUNTIF('2025 Outreach'!A2:A500,"National")</f>
        <v>52</v>
      </c>
    </row>
    <row r="19" customFormat="false" ht="15" hidden="false" customHeight="true" outlineLevel="0" collapsed="false">
      <c r="A19" s="8" t="s">
        <v>17</v>
      </c>
      <c r="B19" s="14" t="n">
        <f aca="false">COUNTIF('2025 Outreach'!A2:A500,"Denver")</f>
        <v>49</v>
      </c>
    </row>
    <row r="20" customFormat="false" ht="15" hidden="false" customHeight="true" outlineLevel="0" collapsed="false">
      <c r="A20" s="6" t="s">
        <v>18</v>
      </c>
      <c r="B20" s="13" t="n">
        <f aca="false">COUNTIF('2025 Outreach'!A2:A500,"Vancouver")</f>
        <v>38</v>
      </c>
    </row>
    <row r="21" customFormat="false" ht="15" hidden="false" customHeight="true" outlineLevel="0" collapsed="false">
      <c r="A21" s="8" t="s">
        <v>19</v>
      </c>
      <c r="B21" s="14" t="n">
        <f aca="false">COUNTIF('2025 Outreach'!A2:A500,"Bozeman")</f>
        <v>30</v>
      </c>
    </row>
    <row r="22" customFormat="false" ht="15" hidden="false" customHeight="true" outlineLevel="0" collapsed="false">
      <c r="A22" s="6" t="s">
        <v>20</v>
      </c>
      <c r="B22" s="13" t="n">
        <f aca="false">COUNTIF('2025 Outreach'!A2:A500,"Boise")</f>
        <v>28</v>
      </c>
    </row>
    <row r="23" customFormat="false" ht="15" hidden="false" customHeight="true" outlineLevel="0" collapsed="false">
      <c r="A23" s="8" t="s">
        <v>21</v>
      </c>
      <c r="B23" s="14" t="n">
        <f aca="false">COUNTIF('2025 Outreach'!A2:A500,"Taos")</f>
        <v>8</v>
      </c>
    </row>
    <row r="24" customFormat="false" ht="15" hidden="false" customHeight="true" outlineLevel="0" collapsed="false">
      <c r="A24" s="6" t="s">
        <v>22</v>
      </c>
      <c r="B24" s="13" t="n">
        <f aca="false">COUNTIF('2025 Outreach'!A2:A500,"Jackson Hole")</f>
        <v>4</v>
      </c>
    </row>
    <row r="25" customFormat="false" ht="15" hidden="false" customHeight="false" outlineLevel="0" collapsed="false"/>
    <row r="26" customFormat="false" ht="15.75" hidden="false" customHeight="true" outlineLevel="0" collapsed="false">
      <c r="A26" s="15" t="s">
        <v>23</v>
      </c>
      <c r="B26" s="16"/>
      <c r="C26" s="16"/>
      <c r="D26" s="16"/>
      <c r="E26" s="16"/>
      <c r="F26" s="16"/>
    </row>
    <row r="27" customFormat="false" ht="15" hidden="false" customHeight="true" outlineLevel="0" collapsed="false">
      <c r="A27" s="6" t="s">
        <v>24</v>
      </c>
      <c r="B27" s="7" t="n">
        <f aca="false">COUNTA('2026 Brand Targets'!C2:C28)</f>
        <v>27</v>
      </c>
    </row>
    <row r="28" customFormat="false" ht="15" hidden="false" customHeight="true" outlineLevel="0" collapsed="false">
      <c r="A28" s="8" t="s">
        <v>25</v>
      </c>
      <c r="B28" s="9" t="n">
        <f aca="false">COUNTIF('2026 Brand Targets'!A2:A28,"*Magic Maker*")</f>
        <v>8</v>
      </c>
    </row>
    <row r="29" customFormat="false" ht="15" hidden="false" customHeight="true" outlineLevel="0" collapsed="false">
      <c r="A29" s="6" t="s">
        <v>26</v>
      </c>
      <c r="B29" s="7" t="n">
        <f aca="false">COUNTIF('2026 Brand Targets'!A2:A28,"*Culture Partner*")</f>
        <v>8</v>
      </c>
    </row>
    <row r="30" customFormat="false" ht="15" hidden="false" customHeight="true" outlineLevel="0" collapsed="false">
      <c r="A30" s="8" t="s">
        <v>27</v>
      </c>
      <c r="B30" s="9" t="n">
        <f aca="false">COUNTIF('2026 Brand Targets'!A2:A28,"*Community Ally*")</f>
        <v>11</v>
      </c>
    </row>
    <row r="31" customFormat="false" ht="15" hidden="false" customHeight="true" outlineLevel="0" collapsed="false">
      <c r="A31" s="6" t="s">
        <v>28</v>
      </c>
      <c r="B31" s="7" t="n">
        <f aca="false">COUNTIF('2026 Brand Targets'!H2:H28,"HIGH")</f>
        <v>14</v>
      </c>
    </row>
    <row r="32" customFormat="false" ht="15" hidden="false" customHeight="true" outlineLevel="0" collapsed="false">
      <c r="A32" s="8" t="s">
        <v>29</v>
      </c>
      <c r="B32" s="9" t="n">
        <f aca="false">COUNTIF('2026 Brand Targets'!H2:H28,"MEDIUM")</f>
        <v>12</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28"/>
    <col collapsed="false" customWidth="true" hidden="false" outlineLevel="0" max="4" min="4" style="1" width="22"/>
    <col collapsed="false" customWidth="true" hidden="false" outlineLevel="0" max="5" min="5" style="1" width="45"/>
    <col collapsed="false" customWidth="true" hidden="false" outlineLevel="0" max="6" min="6" style="1" width="35"/>
    <col collapsed="false" customWidth="true" hidden="false" outlineLevel="0" max="7" min="7" style="1" width="18"/>
    <col collapsed="false" customWidth="true" hidden="false" outlineLevel="0" max="8" min="8" style="1" width="12"/>
    <col collapsed="false" customWidth="true" hidden="false" outlineLevel="0" max="9" min="9" style="1" width="14"/>
    <col collapsed="false" customWidth="true" hidden="false" outlineLevel="0" max="10" min="10" style="1" width="45"/>
  </cols>
  <sheetData>
    <row r="1" customFormat="false" ht="26.25" hidden="false" customHeight="true" outlineLevel="0" collapsed="false">
      <c r="A1" s="17" t="s">
        <v>30</v>
      </c>
      <c r="B1" s="17" t="s">
        <v>31</v>
      </c>
      <c r="C1" s="17" t="s">
        <v>32</v>
      </c>
      <c r="D1" s="17" t="s">
        <v>33</v>
      </c>
      <c r="E1" s="17" t="s">
        <v>34</v>
      </c>
      <c r="F1" s="17" t="s">
        <v>35</v>
      </c>
      <c r="G1" s="17" t="s">
        <v>36</v>
      </c>
      <c r="H1" s="17" t="s">
        <v>37</v>
      </c>
      <c r="I1" s="17" t="s">
        <v>38</v>
      </c>
      <c r="J1" s="17" t="s">
        <v>39</v>
      </c>
    </row>
    <row r="2" customFormat="false" ht="34.5" hidden="false" customHeight="true" outlineLevel="0" collapsed="false">
      <c r="A2" s="18" t="s">
        <v>25</v>
      </c>
      <c r="B2" s="19" t="s">
        <v>40</v>
      </c>
      <c r="C2" s="19" t="s">
        <v>41</v>
      </c>
      <c r="D2" s="19" t="s">
        <v>42</v>
      </c>
      <c r="E2" s="19" t="s">
        <v>43</v>
      </c>
      <c r="F2" s="19" t="s">
        <v>44</v>
      </c>
      <c r="G2" s="20" t="s">
        <v>45</v>
      </c>
      <c r="H2" s="21" t="s">
        <v>46</v>
      </c>
      <c r="I2" s="20"/>
      <c r="J2" s="19" t="s">
        <v>47</v>
      </c>
    </row>
    <row r="3" customFormat="false" ht="23.25" hidden="false" customHeight="true" outlineLevel="0" collapsed="false">
      <c r="A3" s="18" t="s">
        <v>25</v>
      </c>
      <c r="B3" s="22" t="s">
        <v>40</v>
      </c>
      <c r="C3" s="22" t="s">
        <v>48</v>
      </c>
      <c r="D3" s="22" t="s">
        <v>49</v>
      </c>
      <c r="E3" s="22" t="s">
        <v>50</v>
      </c>
      <c r="F3" s="22" t="s">
        <v>51</v>
      </c>
      <c r="G3" s="23" t="s">
        <v>52</v>
      </c>
      <c r="H3" s="21" t="s">
        <v>46</v>
      </c>
      <c r="I3" s="23"/>
      <c r="J3" s="22" t="s">
        <v>53</v>
      </c>
    </row>
    <row r="4" customFormat="false" ht="23.25" hidden="false" customHeight="true" outlineLevel="0" collapsed="false">
      <c r="A4" s="18" t="s">
        <v>25</v>
      </c>
      <c r="B4" s="19" t="s">
        <v>40</v>
      </c>
      <c r="C4" s="19" t="s">
        <v>54</v>
      </c>
      <c r="D4" s="19" t="s">
        <v>55</v>
      </c>
      <c r="E4" s="19" t="s">
        <v>56</v>
      </c>
      <c r="F4" s="19" t="s">
        <v>57</v>
      </c>
      <c r="G4" s="20" t="s">
        <v>58</v>
      </c>
      <c r="H4" s="21" t="s">
        <v>46</v>
      </c>
      <c r="I4" s="20"/>
      <c r="J4" s="19" t="s">
        <v>59</v>
      </c>
    </row>
    <row r="5" customFormat="false" ht="34.5" hidden="false" customHeight="true" outlineLevel="0" collapsed="false">
      <c r="A5" s="18" t="s">
        <v>25</v>
      </c>
      <c r="B5" s="22" t="s">
        <v>60</v>
      </c>
      <c r="C5" s="22" t="s">
        <v>61</v>
      </c>
      <c r="D5" s="22" t="s">
        <v>62</v>
      </c>
      <c r="E5" s="22" t="s">
        <v>63</v>
      </c>
      <c r="F5" s="22" t="s">
        <v>64</v>
      </c>
      <c r="G5" s="23" t="s">
        <v>65</v>
      </c>
      <c r="H5" s="21" t="s">
        <v>46</v>
      </c>
      <c r="I5" s="23"/>
      <c r="J5" s="22" t="s">
        <v>66</v>
      </c>
    </row>
    <row r="6" customFormat="false" ht="23.25" hidden="false" customHeight="true" outlineLevel="0" collapsed="false">
      <c r="A6" s="18" t="s">
        <v>25</v>
      </c>
      <c r="B6" s="19" t="s">
        <v>60</v>
      </c>
      <c r="C6" s="19" t="s">
        <v>67</v>
      </c>
      <c r="D6" s="19" t="s">
        <v>68</v>
      </c>
      <c r="E6" s="19" t="s">
        <v>69</v>
      </c>
      <c r="F6" s="19" t="s">
        <v>70</v>
      </c>
      <c r="G6" s="20" t="s">
        <v>71</v>
      </c>
      <c r="H6" s="21" t="s">
        <v>46</v>
      </c>
      <c r="I6" s="20"/>
      <c r="J6" s="19" t="s">
        <v>72</v>
      </c>
    </row>
    <row r="7" customFormat="false" ht="34.5" hidden="false" customHeight="true" outlineLevel="0" collapsed="false">
      <c r="A7" s="18" t="s">
        <v>25</v>
      </c>
      <c r="B7" s="22" t="s">
        <v>60</v>
      </c>
      <c r="C7" s="22" t="s">
        <v>73</v>
      </c>
      <c r="D7" s="22" t="s">
        <v>74</v>
      </c>
      <c r="E7" s="22" t="s">
        <v>75</v>
      </c>
      <c r="F7" s="22" t="s">
        <v>76</v>
      </c>
      <c r="G7" s="23" t="s">
        <v>77</v>
      </c>
      <c r="H7" s="24" t="s">
        <v>78</v>
      </c>
      <c r="I7" s="23"/>
      <c r="J7" s="22" t="s">
        <v>79</v>
      </c>
    </row>
    <row r="8" customFormat="false" ht="23.25" hidden="false" customHeight="true" outlineLevel="0" collapsed="false">
      <c r="A8" s="18" t="s">
        <v>25</v>
      </c>
      <c r="B8" s="19" t="s">
        <v>80</v>
      </c>
      <c r="C8" s="19" t="s">
        <v>81</v>
      </c>
      <c r="D8" s="19" t="s">
        <v>82</v>
      </c>
      <c r="E8" s="19" t="s">
        <v>83</v>
      </c>
      <c r="F8" s="19" t="s">
        <v>84</v>
      </c>
      <c r="G8" s="20" t="s">
        <v>85</v>
      </c>
      <c r="H8" s="21" t="s">
        <v>46</v>
      </c>
      <c r="I8" s="20"/>
      <c r="J8" s="19" t="s">
        <v>86</v>
      </c>
    </row>
    <row r="9" customFormat="false" ht="23.25" hidden="false" customHeight="true" outlineLevel="0" collapsed="false">
      <c r="A9" s="18" t="s">
        <v>25</v>
      </c>
      <c r="B9" s="22" t="s">
        <v>80</v>
      </c>
      <c r="C9" s="22" t="s">
        <v>87</v>
      </c>
      <c r="D9" s="22" t="s">
        <v>88</v>
      </c>
      <c r="E9" s="22" t="s">
        <v>89</v>
      </c>
      <c r="F9" s="22" t="s">
        <v>90</v>
      </c>
      <c r="G9" s="23" t="s">
        <v>91</v>
      </c>
      <c r="H9" s="24" t="s">
        <v>78</v>
      </c>
      <c r="I9" s="23"/>
      <c r="J9" s="22" t="s">
        <v>92</v>
      </c>
    </row>
    <row r="10" customFormat="false" ht="23.25" hidden="false" customHeight="true" outlineLevel="0" collapsed="false">
      <c r="A10" s="25" t="s">
        <v>26</v>
      </c>
      <c r="B10" s="19" t="s">
        <v>93</v>
      </c>
      <c r="C10" s="19" t="s">
        <v>94</v>
      </c>
      <c r="D10" s="19" t="s">
        <v>95</v>
      </c>
      <c r="E10" s="19" t="s">
        <v>96</v>
      </c>
      <c r="F10" s="19" t="s">
        <v>97</v>
      </c>
      <c r="G10" s="20" t="s">
        <v>98</v>
      </c>
      <c r="H10" s="21" t="s">
        <v>46</v>
      </c>
      <c r="I10" s="20"/>
      <c r="J10" s="19" t="s">
        <v>99</v>
      </c>
    </row>
    <row r="11" customFormat="false" ht="23.25" hidden="false" customHeight="true" outlineLevel="0" collapsed="false">
      <c r="A11" s="25" t="s">
        <v>26</v>
      </c>
      <c r="B11" s="22" t="s">
        <v>93</v>
      </c>
      <c r="C11" s="22" t="s">
        <v>100</v>
      </c>
      <c r="D11" s="22" t="s">
        <v>101</v>
      </c>
      <c r="E11" s="22" t="s">
        <v>102</v>
      </c>
      <c r="F11" s="22" t="s">
        <v>103</v>
      </c>
      <c r="G11" s="23" t="s">
        <v>98</v>
      </c>
      <c r="H11" s="21" t="s">
        <v>46</v>
      </c>
      <c r="I11" s="23"/>
      <c r="J11" s="22" t="s">
        <v>104</v>
      </c>
    </row>
    <row r="12" customFormat="false" ht="23.25" hidden="false" customHeight="true" outlineLevel="0" collapsed="false">
      <c r="A12" s="25" t="s">
        <v>26</v>
      </c>
      <c r="B12" s="19" t="s">
        <v>93</v>
      </c>
      <c r="C12" s="19" t="s">
        <v>105</v>
      </c>
      <c r="D12" s="19" t="s">
        <v>106</v>
      </c>
      <c r="E12" s="19" t="s">
        <v>107</v>
      </c>
      <c r="F12" s="19" t="s">
        <v>108</v>
      </c>
      <c r="G12" s="20" t="s">
        <v>52</v>
      </c>
      <c r="H12" s="21" t="s">
        <v>46</v>
      </c>
      <c r="I12" s="20"/>
      <c r="J12" s="19" t="s">
        <v>109</v>
      </c>
    </row>
    <row r="13" customFormat="false" ht="23.25" hidden="false" customHeight="true" outlineLevel="0" collapsed="false">
      <c r="A13" s="25" t="s">
        <v>26</v>
      </c>
      <c r="B13" s="22" t="s">
        <v>93</v>
      </c>
      <c r="C13" s="22" t="s">
        <v>110</v>
      </c>
      <c r="D13" s="22" t="s">
        <v>111</v>
      </c>
      <c r="E13" s="22" t="s">
        <v>112</v>
      </c>
      <c r="F13" s="22" t="s">
        <v>113</v>
      </c>
      <c r="G13" s="23" t="s">
        <v>114</v>
      </c>
      <c r="H13" s="24" t="s">
        <v>78</v>
      </c>
      <c r="I13" s="23"/>
      <c r="J13" s="22" t="s">
        <v>115</v>
      </c>
    </row>
    <row r="14" customFormat="false" ht="23.25" hidden="false" customHeight="true" outlineLevel="0" collapsed="false">
      <c r="A14" s="25" t="s">
        <v>26</v>
      </c>
      <c r="B14" s="19" t="s">
        <v>116</v>
      </c>
      <c r="C14" s="19" t="s">
        <v>117</v>
      </c>
      <c r="D14" s="19" t="s">
        <v>118</v>
      </c>
      <c r="E14" s="19" t="s">
        <v>119</v>
      </c>
      <c r="F14" s="19" t="s">
        <v>120</v>
      </c>
      <c r="G14" s="20" t="s">
        <v>121</v>
      </c>
      <c r="H14" s="24" t="s">
        <v>78</v>
      </c>
      <c r="I14" s="20"/>
      <c r="J14" s="19" t="s">
        <v>122</v>
      </c>
    </row>
    <row r="15" customFormat="false" ht="23.25" hidden="false" customHeight="true" outlineLevel="0" collapsed="false">
      <c r="A15" s="25" t="s">
        <v>26</v>
      </c>
      <c r="B15" s="22" t="s">
        <v>116</v>
      </c>
      <c r="C15" s="22" t="s">
        <v>123</v>
      </c>
      <c r="D15" s="22" t="s">
        <v>124</v>
      </c>
      <c r="E15" s="22" t="s">
        <v>125</v>
      </c>
      <c r="F15" s="22" t="s">
        <v>126</v>
      </c>
      <c r="G15" s="23" t="s">
        <v>98</v>
      </c>
      <c r="H15" s="21" t="s">
        <v>46</v>
      </c>
      <c r="I15" s="23"/>
      <c r="J15" s="22" t="s">
        <v>127</v>
      </c>
    </row>
    <row r="16" customFormat="false" ht="23.25" hidden="false" customHeight="true" outlineLevel="0" collapsed="false">
      <c r="A16" s="25" t="s">
        <v>26</v>
      </c>
      <c r="B16" s="19" t="s">
        <v>128</v>
      </c>
      <c r="C16" s="19" t="s">
        <v>129</v>
      </c>
      <c r="D16" s="19" t="s">
        <v>130</v>
      </c>
      <c r="E16" s="19" t="s">
        <v>131</v>
      </c>
      <c r="F16" s="19" t="s">
        <v>132</v>
      </c>
      <c r="G16" s="20" t="s">
        <v>133</v>
      </c>
      <c r="H16" s="21" t="s">
        <v>46</v>
      </c>
      <c r="I16" s="20"/>
      <c r="J16" s="19" t="s">
        <v>134</v>
      </c>
    </row>
    <row r="17" customFormat="false" ht="23.25" hidden="false" customHeight="true" outlineLevel="0" collapsed="false">
      <c r="A17" s="25" t="s">
        <v>26</v>
      </c>
      <c r="B17" s="22" t="s">
        <v>128</v>
      </c>
      <c r="C17" s="22" t="s">
        <v>135</v>
      </c>
      <c r="D17" s="22" t="s">
        <v>136</v>
      </c>
      <c r="E17" s="22" t="s">
        <v>137</v>
      </c>
      <c r="F17" s="22" t="s">
        <v>138</v>
      </c>
      <c r="G17" s="23" t="s">
        <v>77</v>
      </c>
      <c r="H17" s="24" t="s">
        <v>78</v>
      </c>
      <c r="I17" s="23"/>
      <c r="J17" s="22" t="s">
        <v>139</v>
      </c>
    </row>
    <row r="18" customFormat="false" ht="23.25" hidden="false" customHeight="true" outlineLevel="0" collapsed="false">
      <c r="A18" s="26" t="s">
        <v>27</v>
      </c>
      <c r="B18" s="19" t="s">
        <v>140</v>
      </c>
      <c r="C18" s="19" t="s">
        <v>141</v>
      </c>
      <c r="D18" s="19" t="s">
        <v>142</v>
      </c>
      <c r="E18" s="19" t="s">
        <v>143</v>
      </c>
      <c r="F18" s="19" t="s">
        <v>144</v>
      </c>
      <c r="G18" s="20" t="s">
        <v>52</v>
      </c>
      <c r="H18" s="21" t="s">
        <v>46</v>
      </c>
      <c r="I18" s="20"/>
      <c r="J18" s="19" t="s">
        <v>145</v>
      </c>
    </row>
    <row r="19" customFormat="false" ht="23.25" hidden="false" customHeight="true" outlineLevel="0" collapsed="false">
      <c r="A19" s="26" t="s">
        <v>27</v>
      </c>
      <c r="B19" s="22" t="s">
        <v>140</v>
      </c>
      <c r="C19" s="22" t="s">
        <v>146</v>
      </c>
      <c r="D19" s="22" t="s">
        <v>147</v>
      </c>
      <c r="E19" s="22" t="s">
        <v>148</v>
      </c>
      <c r="F19" s="22" t="s">
        <v>149</v>
      </c>
      <c r="G19" s="23" t="s">
        <v>150</v>
      </c>
      <c r="H19" s="21" t="s">
        <v>46</v>
      </c>
      <c r="I19" s="23"/>
      <c r="J19" s="22" t="s">
        <v>151</v>
      </c>
    </row>
    <row r="20" customFormat="false" ht="23.25" hidden="false" customHeight="true" outlineLevel="0" collapsed="false">
      <c r="A20" s="26" t="s">
        <v>27</v>
      </c>
      <c r="B20" s="19" t="s">
        <v>140</v>
      </c>
      <c r="C20" s="19" t="s">
        <v>152</v>
      </c>
      <c r="D20" s="19" t="s">
        <v>153</v>
      </c>
      <c r="E20" s="19" t="s">
        <v>154</v>
      </c>
      <c r="F20" s="19" t="s">
        <v>155</v>
      </c>
      <c r="G20" s="20" t="s">
        <v>52</v>
      </c>
      <c r="H20" s="21" t="s">
        <v>46</v>
      </c>
      <c r="I20" s="20"/>
      <c r="J20" s="19" t="s">
        <v>156</v>
      </c>
    </row>
    <row r="21" customFormat="false" ht="23.25" hidden="false" customHeight="true" outlineLevel="0" collapsed="false">
      <c r="A21" s="26" t="s">
        <v>27</v>
      </c>
      <c r="B21" s="22" t="s">
        <v>140</v>
      </c>
      <c r="C21" s="22" t="s">
        <v>157</v>
      </c>
      <c r="D21" s="22" t="s">
        <v>158</v>
      </c>
      <c r="E21" s="22" t="s">
        <v>159</v>
      </c>
      <c r="F21" s="22" t="s">
        <v>160</v>
      </c>
      <c r="G21" s="23" t="s">
        <v>121</v>
      </c>
      <c r="H21" s="24" t="s">
        <v>78</v>
      </c>
      <c r="I21" s="23"/>
      <c r="J21" s="22" t="s">
        <v>161</v>
      </c>
    </row>
    <row r="22" customFormat="false" ht="23.25" hidden="false" customHeight="true" outlineLevel="0" collapsed="false">
      <c r="A22" s="26" t="s">
        <v>27</v>
      </c>
      <c r="B22" s="19" t="s">
        <v>140</v>
      </c>
      <c r="C22" s="19" t="s">
        <v>162</v>
      </c>
      <c r="D22" s="19" t="s">
        <v>163</v>
      </c>
      <c r="E22" s="19" t="s">
        <v>164</v>
      </c>
      <c r="F22" s="19" t="s">
        <v>165</v>
      </c>
      <c r="G22" s="20" t="s">
        <v>166</v>
      </c>
      <c r="H22" s="24" t="s">
        <v>78</v>
      </c>
      <c r="I22" s="20"/>
      <c r="J22" s="19" t="s">
        <v>167</v>
      </c>
    </row>
    <row r="23" customFormat="false" ht="23.25" hidden="false" customHeight="true" outlineLevel="0" collapsed="false">
      <c r="A23" s="26" t="s">
        <v>27</v>
      </c>
      <c r="B23" s="22" t="s">
        <v>168</v>
      </c>
      <c r="C23" s="22" t="s">
        <v>169</v>
      </c>
      <c r="D23" s="22" t="s">
        <v>170</v>
      </c>
      <c r="E23" s="22" t="s">
        <v>171</v>
      </c>
      <c r="F23" s="22" t="s">
        <v>172</v>
      </c>
      <c r="G23" s="23" t="s">
        <v>52</v>
      </c>
      <c r="H23" s="24" t="s">
        <v>78</v>
      </c>
      <c r="I23" s="23"/>
      <c r="J23" s="22" t="s">
        <v>173</v>
      </c>
    </row>
    <row r="24" customFormat="false" ht="23.25" hidden="false" customHeight="true" outlineLevel="0" collapsed="false">
      <c r="A24" s="26" t="s">
        <v>27</v>
      </c>
      <c r="B24" s="19" t="s">
        <v>168</v>
      </c>
      <c r="C24" s="19" t="s">
        <v>174</v>
      </c>
      <c r="D24" s="19" t="s">
        <v>175</v>
      </c>
      <c r="E24" s="19" t="s">
        <v>176</v>
      </c>
      <c r="F24" s="19" t="s">
        <v>177</v>
      </c>
      <c r="G24" s="20" t="s">
        <v>166</v>
      </c>
      <c r="H24" s="24" t="s">
        <v>78</v>
      </c>
      <c r="I24" s="20"/>
      <c r="J24" s="19" t="s">
        <v>178</v>
      </c>
    </row>
    <row r="25" customFormat="false" ht="23.25" hidden="false" customHeight="true" outlineLevel="0" collapsed="false">
      <c r="A25" s="26" t="s">
        <v>27</v>
      </c>
      <c r="B25" s="22" t="s">
        <v>179</v>
      </c>
      <c r="C25" s="22" t="s">
        <v>180</v>
      </c>
      <c r="D25" s="22" t="s">
        <v>181</v>
      </c>
      <c r="E25" s="22" t="s">
        <v>182</v>
      </c>
      <c r="F25" s="22" t="s">
        <v>183</v>
      </c>
      <c r="G25" s="23" t="s">
        <v>98</v>
      </c>
      <c r="H25" s="24" t="s">
        <v>78</v>
      </c>
      <c r="I25" s="23"/>
      <c r="J25" s="22" t="s">
        <v>184</v>
      </c>
    </row>
    <row r="26" customFormat="false" ht="23.25" hidden="false" customHeight="true" outlineLevel="0" collapsed="false">
      <c r="A26" s="26" t="s">
        <v>27</v>
      </c>
      <c r="B26" s="19" t="s">
        <v>179</v>
      </c>
      <c r="C26" s="19" t="s">
        <v>185</v>
      </c>
      <c r="D26" s="19" t="s">
        <v>186</v>
      </c>
      <c r="E26" s="19" t="s">
        <v>187</v>
      </c>
      <c r="F26" s="19" t="s">
        <v>188</v>
      </c>
      <c r="G26" s="20" t="s">
        <v>77</v>
      </c>
      <c r="H26" s="24" t="s">
        <v>78</v>
      </c>
      <c r="I26" s="20"/>
      <c r="J26" s="19" t="s">
        <v>189</v>
      </c>
    </row>
    <row r="27" customFormat="false" ht="23.25" hidden="false" customHeight="true" outlineLevel="0" collapsed="false">
      <c r="A27" s="26" t="s">
        <v>27</v>
      </c>
      <c r="B27" s="22" t="s">
        <v>190</v>
      </c>
      <c r="C27" s="22" t="s">
        <v>191</v>
      </c>
      <c r="D27" s="22" t="s">
        <v>192</v>
      </c>
      <c r="E27" s="22" t="s">
        <v>193</v>
      </c>
      <c r="F27" s="22" t="s">
        <v>194</v>
      </c>
      <c r="G27" s="23" t="s">
        <v>52</v>
      </c>
      <c r="H27" s="24" t="s">
        <v>78</v>
      </c>
      <c r="I27" s="23"/>
      <c r="J27" s="22" t="s">
        <v>195</v>
      </c>
    </row>
    <row r="28" customFormat="false" ht="23.25" hidden="false" customHeight="true" outlineLevel="0" collapsed="false">
      <c r="A28" s="26" t="s">
        <v>27</v>
      </c>
      <c r="B28" s="19" t="s">
        <v>190</v>
      </c>
      <c r="C28" s="19" t="s">
        <v>196</v>
      </c>
      <c r="D28" s="19" t="s">
        <v>197</v>
      </c>
      <c r="E28" s="19" t="s">
        <v>198</v>
      </c>
      <c r="F28" s="19" t="s">
        <v>199</v>
      </c>
      <c r="G28" s="20" t="s">
        <v>52</v>
      </c>
      <c r="H28" s="20" t="s">
        <v>200</v>
      </c>
      <c r="I28" s="20"/>
      <c r="J28" s="19" t="s">
        <v>201</v>
      </c>
    </row>
  </sheetData>
  <autoFilter ref="A1:J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84F"/>
    <outlinePr summaryBelow="0"/>
    <pageSetUpPr fitToPage="false"/>
  </sheetPr>
  <dimension ref="A1:Z3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4"/>
    <col collapsed="false" customWidth="true" hidden="false" outlineLevel="0" max="5" min="2" style="1" width="40"/>
    <col collapsed="false" customWidth="true" hidden="false" outlineLevel="0" max="6" min="6" style="1" width="20"/>
    <col collapsed="false" customWidth="true" hidden="false" outlineLevel="0" max="9" min="7" style="1" width="40"/>
    <col collapsed="false" customWidth="true" hidden="false" outlineLevel="0" max="10" min="10" style="1" width="33"/>
    <col collapsed="false" customWidth="true" hidden="false" outlineLevel="0" max="11" min="11" style="1" width="21"/>
  </cols>
  <sheetData>
    <row r="1" customFormat="false" ht="41.25" hidden="false" customHeight="true" outlineLevel="0" collapsed="false">
      <c r="A1" s="17" t="s">
        <v>12</v>
      </c>
      <c r="B1" s="17" t="s">
        <v>202</v>
      </c>
      <c r="C1" s="17" t="s">
        <v>203</v>
      </c>
      <c r="D1" s="17" t="s">
        <v>204</v>
      </c>
      <c r="E1" s="17" t="s">
        <v>205</v>
      </c>
      <c r="F1" s="17" t="s">
        <v>206</v>
      </c>
      <c r="G1" s="17" t="s">
        <v>207</v>
      </c>
      <c r="H1" s="17" t="s">
        <v>208</v>
      </c>
      <c r="I1" s="17" t="s">
        <v>209</v>
      </c>
      <c r="J1" s="17" t="s">
        <v>38</v>
      </c>
      <c r="K1" s="17"/>
    </row>
    <row r="2" customFormat="false" ht="68.25" hidden="false" customHeight="true" outlineLevel="0" collapsed="false">
      <c r="A2" s="27" t="s">
        <v>20</v>
      </c>
      <c r="B2" s="27" t="s">
        <v>210</v>
      </c>
      <c r="C2" s="27" t="s">
        <v>211</v>
      </c>
      <c r="D2" s="27" t="s">
        <v>212</v>
      </c>
      <c r="E2" s="28" t="n">
        <v>45813</v>
      </c>
      <c r="F2" s="27" t="s">
        <v>213</v>
      </c>
      <c r="G2" s="27" t="s">
        <v>214</v>
      </c>
      <c r="H2" s="27" t="s">
        <v>215</v>
      </c>
      <c r="I2" s="27" t="s">
        <v>216</v>
      </c>
      <c r="J2" s="27" t="s">
        <v>217</v>
      </c>
      <c r="K2" s="29"/>
      <c r="L2" s="30"/>
      <c r="M2" s="30"/>
      <c r="N2" s="30"/>
      <c r="O2" s="30"/>
      <c r="P2" s="30"/>
      <c r="Q2" s="30"/>
      <c r="R2" s="30"/>
      <c r="S2" s="30"/>
      <c r="T2" s="30"/>
      <c r="U2" s="30"/>
      <c r="V2" s="30"/>
      <c r="W2" s="30"/>
      <c r="X2" s="30"/>
      <c r="Y2" s="30"/>
      <c r="Z2" s="30"/>
    </row>
    <row r="3" customFormat="false" ht="79.5" hidden="false" customHeight="true" outlineLevel="0" collapsed="false">
      <c r="A3" s="22" t="s">
        <v>20</v>
      </c>
      <c r="B3" s="22" t="s">
        <v>218</v>
      </c>
      <c r="C3" s="22" t="s">
        <v>219</v>
      </c>
      <c r="D3" s="22" t="s">
        <v>220</v>
      </c>
      <c r="E3" s="31"/>
      <c r="F3" s="22"/>
      <c r="G3" s="22"/>
      <c r="H3" s="22" t="s">
        <v>221</v>
      </c>
      <c r="I3" s="22"/>
      <c r="J3" s="22"/>
      <c r="K3" s="22"/>
    </row>
    <row r="4" customFormat="false" ht="90.75" hidden="false" customHeight="true" outlineLevel="0" collapsed="false">
      <c r="A4" s="29" t="s">
        <v>20</v>
      </c>
      <c r="B4" s="29" t="s">
        <v>222</v>
      </c>
      <c r="C4" s="29" t="s">
        <v>223</v>
      </c>
      <c r="D4" s="29" t="s">
        <v>224</v>
      </c>
      <c r="E4" s="32"/>
      <c r="F4" s="29"/>
      <c r="G4" s="29"/>
      <c r="H4" s="29" t="s">
        <v>225</v>
      </c>
      <c r="I4" s="29" t="s">
        <v>226</v>
      </c>
      <c r="J4" s="29"/>
      <c r="K4" s="33"/>
    </row>
    <row r="5" customFormat="false" ht="102" hidden="false" customHeight="true" outlineLevel="0" collapsed="false">
      <c r="A5" s="22" t="s">
        <v>20</v>
      </c>
      <c r="B5" s="22" t="s">
        <v>227</v>
      </c>
      <c r="C5" s="22" t="s">
        <v>228</v>
      </c>
      <c r="D5" s="22" t="s">
        <v>229</v>
      </c>
      <c r="E5" s="31"/>
      <c r="F5" s="22"/>
      <c r="G5" s="22"/>
      <c r="H5" s="22"/>
      <c r="I5" s="22"/>
      <c r="J5" s="22"/>
      <c r="K5" s="22"/>
    </row>
    <row r="6" customFormat="false" ht="23.25" hidden="false" customHeight="true" outlineLevel="0" collapsed="false">
      <c r="A6" s="29" t="s">
        <v>20</v>
      </c>
      <c r="B6" s="29" t="s">
        <v>230</v>
      </c>
      <c r="C6" s="29" t="s">
        <v>231</v>
      </c>
      <c r="D6" s="29" t="s">
        <v>232</v>
      </c>
      <c r="E6" s="32" t="n">
        <v>45813</v>
      </c>
      <c r="F6" s="29" t="s">
        <v>213</v>
      </c>
      <c r="G6" s="29" t="s">
        <v>233</v>
      </c>
      <c r="H6" s="29" t="s">
        <v>234</v>
      </c>
      <c r="I6" s="29" t="s">
        <v>235</v>
      </c>
      <c r="J6" s="29" t="s">
        <v>236</v>
      </c>
      <c r="K6" s="33"/>
    </row>
    <row r="7" customFormat="false" ht="23.25" hidden="false" customHeight="true" outlineLevel="0" collapsed="false">
      <c r="A7" s="22" t="s">
        <v>20</v>
      </c>
      <c r="B7" s="22" t="s">
        <v>237</v>
      </c>
      <c r="C7" s="22" t="s">
        <v>238</v>
      </c>
      <c r="D7" s="22" t="s">
        <v>239</v>
      </c>
      <c r="E7" s="31" t="n">
        <v>45813</v>
      </c>
      <c r="F7" s="22" t="s">
        <v>240</v>
      </c>
      <c r="G7" s="22"/>
      <c r="H7" s="22" t="s">
        <v>241</v>
      </c>
      <c r="I7" s="22" t="s">
        <v>242</v>
      </c>
      <c r="J7" s="22" t="s">
        <v>236</v>
      </c>
      <c r="K7" s="22"/>
    </row>
    <row r="8" customFormat="false" ht="23.25" hidden="false" customHeight="true" outlineLevel="0" collapsed="false">
      <c r="A8" s="29" t="s">
        <v>20</v>
      </c>
      <c r="B8" s="29" t="s">
        <v>243</v>
      </c>
      <c r="C8" s="29" t="s">
        <v>244</v>
      </c>
      <c r="D8" s="29" t="s">
        <v>245</v>
      </c>
      <c r="E8" s="32" t="n">
        <v>45813</v>
      </c>
      <c r="F8" s="29" t="s">
        <v>213</v>
      </c>
      <c r="G8" s="29" t="s">
        <v>246</v>
      </c>
      <c r="H8" s="29" t="s">
        <v>247</v>
      </c>
      <c r="I8" s="29" t="s">
        <v>248</v>
      </c>
      <c r="J8" s="29" t="s">
        <v>236</v>
      </c>
      <c r="K8" s="33"/>
    </row>
    <row r="9" customFormat="false" ht="23.25" hidden="false" customHeight="true" outlineLevel="0" collapsed="false">
      <c r="A9" s="22" t="s">
        <v>20</v>
      </c>
      <c r="B9" s="22" t="s">
        <v>249</v>
      </c>
      <c r="C9" s="22" t="s">
        <v>250</v>
      </c>
      <c r="D9" s="22" t="s">
        <v>251</v>
      </c>
      <c r="E9" s="31" t="n">
        <v>45813</v>
      </c>
      <c r="F9" s="22" t="s">
        <v>252</v>
      </c>
      <c r="G9" s="22" t="s">
        <v>253</v>
      </c>
      <c r="H9" s="22" t="s">
        <v>254</v>
      </c>
      <c r="I9" s="22" t="s">
        <v>255</v>
      </c>
      <c r="J9" s="22" t="s">
        <v>236</v>
      </c>
      <c r="K9" s="22"/>
    </row>
    <row r="10" customFormat="false" ht="15.75" hidden="false" customHeight="true" outlineLevel="0" collapsed="false">
      <c r="A10" s="29" t="s">
        <v>20</v>
      </c>
      <c r="B10" s="29" t="s">
        <v>256</v>
      </c>
      <c r="C10" s="29" t="s">
        <v>257</v>
      </c>
      <c r="D10" s="29" t="s">
        <v>258</v>
      </c>
      <c r="E10" s="32" t="n">
        <v>45813</v>
      </c>
      <c r="F10" s="29" t="s">
        <v>240</v>
      </c>
      <c r="G10" s="29" t="s">
        <v>259</v>
      </c>
      <c r="H10" s="29"/>
      <c r="I10" s="29"/>
      <c r="J10" s="29"/>
      <c r="K10" s="33"/>
    </row>
    <row r="11" customFormat="false" ht="23.25" hidden="false" customHeight="true" outlineLevel="0" collapsed="false">
      <c r="A11" s="22" t="s">
        <v>20</v>
      </c>
      <c r="B11" s="22" t="s">
        <v>260</v>
      </c>
      <c r="C11" s="22" t="s">
        <v>261</v>
      </c>
      <c r="D11" s="22" t="s">
        <v>262</v>
      </c>
      <c r="E11" s="31" t="n">
        <v>45813</v>
      </c>
      <c r="F11" s="22" t="s">
        <v>213</v>
      </c>
      <c r="G11" s="22"/>
      <c r="H11" s="22" t="s">
        <v>263</v>
      </c>
      <c r="I11" s="22" t="s">
        <v>264</v>
      </c>
      <c r="J11" s="22" t="s">
        <v>236</v>
      </c>
      <c r="K11" s="22"/>
    </row>
    <row r="12" customFormat="false" ht="34.5" hidden="false" customHeight="true" outlineLevel="0" collapsed="false">
      <c r="A12" s="29" t="s">
        <v>20</v>
      </c>
      <c r="B12" s="29" t="s">
        <v>265</v>
      </c>
      <c r="C12" s="29" t="s">
        <v>266</v>
      </c>
      <c r="D12" s="29" t="s">
        <v>267</v>
      </c>
      <c r="E12" s="32" t="n">
        <v>45813</v>
      </c>
      <c r="F12" s="29" t="s">
        <v>213</v>
      </c>
      <c r="G12" s="29" t="s">
        <v>268</v>
      </c>
      <c r="H12" s="29" t="s">
        <v>269</v>
      </c>
      <c r="I12" s="29" t="s">
        <v>270</v>
      </c>
      <c r="J12" s="29" t="s">
        <v>236</v>
      </c>
      <c r="K12" s="33"/>
    </row>
    <row r="13" customFormat="false" ht="45.75" hidden="false" customHeight="true" outlineLevel="0" collapsed="false">
      <c r="A13" s="22" t="s">
        <v>20</v>
      </c>
      <c r="B13" s="22" t="s">
        <v>271</v>
      </c>
      <c r="C13" s="22" t="s">
        <v>272</v>
      </c>
      <c r="D13" s="22" t="s">
        <v>273</v>
      </c>
      <c r="E13" s="31" t="n">
        <v>45813</v>
      </c>
      <c r="F13" s="22" t="s">
        <v>213</v>
      </c>
      <c r="G13" s="22"/>
      <c r="H13" s="22"/>
      <c r="I13" s="22"/>
      <c r="J13" s="22" t="s">
        <v>236</v>
      </c>
      <c r="K13" s="22"/>
    </row>
    <row r="14" customFormat="false" ht="34.5" hidden="false" customHeight="true" outlineLevel="0" collapsed="false">
      <c r="A14" s="29" t="s">
        <v>20</v>
      </c>
      <c r="B14" s="29" t="s">
        <v>274</v>
      </c>
      <c r="C14" s="29"/>
      <c r="D14" s="29" t="s">
        <v>275</v>
      </c>
      <c r="E14" s="32" t="n">
        <v>45833</v>
      </c>
      <c r="F14" s="29" t="s">
        <v>240</v>
      </c>
      <c r="G14" s="29"/>
      <c r="H14" s="29"/>
      <c r="I14" s="29"/>
      <c r="J14" s="29"/>
      <c r="K14" s="19"/>
    </row>
    <row r="15" customFormat="false" ht="23.25" hidden="false" customHeight="true" outlineLevel="0" collapsed="false">
      <c r="A15" s="22" t="s">
        <v>20</v>
      </c>
      <c r="B15" s="22" t="s">
        <v>276</v>
      </c>
      <c r="C15" s="22"/>
      <c r="D15" s="22" t="s">
        <v>277</v>
      </c>
      <c r="E15" s="31" t="n">
        <v>45840</v>
      </c>
      <c r="F15" s="22" t="s">
        <v>240</v>
      </c>
      <c r="G15" s="22"/>
      <c r="H15" s="22"/>
      <c r="I15" s="22"/>
      <c r="J15" s="22"/>
      <c r="K15" s="22"/>
    </row>
    <row r="16" customFormat="false" ht="68.25" hidden="false" customHeight="true" outlineLevel="0" collapsed="false">
      <c r="A16" s="29" t="s">
        <v>20</v>
      </c>
      <c r="B16" s="29" t="s">
        <v>278</v>
      </c>
      <c r="C16" s="29" t="s">
        <v>279</v>
      </c>
      <c r="D16" s="29" t="s">
        <v>280</v>
      </c>
      <c r="E16" s="32"/>
      <c r="F16" s="29"/>
      <c r="G16" s="32"/>
      <c r="H16" s="29" t="s">
        <v>281</v>
      </c>
      <c r="I16" s="29" t="s">
        <v>282</v>
      </c>
      <c r="J16" s="29"/>
      <c r="K16" s="34"/>
      <c r="L16" s="35"/>
      <c r="M16" s="35"/>
      <c r="N16" s="35"/>
      <c r="O16" s="35"/>
      <c r="P16" s="35"/>
      <c r="Q16" s="35"/>
      <c r="R16" s="35"/>
      <c r="S16" s="35"/>
      <c r="T16" s="35"/>
      <c r="U16" s="35"/>
      <c r="V16" s="35"/>
      <c r="W16" s="35"/>
      <c r="X16" s="35"/>
      <c r="Y16" s="35"/>
      <c r="Z16" s="35"/>
    </row>
    <row r="17" customFormat="false" ht="34.5" hidden="false" customHeight="true" outlineLevel="0" collapsed="false">
      <c r="A17" s="22" t="s">
        <v>20</v>
      </c>
      <c r="B17" s="22" t="s">
        <v>283</v>
      </c>
      <c r="C17" s="22" t="s">
        <v>284</v>
      </c>
      <c r="D17" s="22" t="s">
        <v>285</v>
      </c>
      <c r="E17" s="31"/>
      <c r="F17" s="22"/>
      <c r="G17" s="31"/>
      <c r="H17" s="22" t="s">
        <v>286</v>
      </c>
      <c r="I17" s="22"/>
      <c r="J17" s="22"/>
      <c r="K17" s="22"/>
      <c r="L17" s="35"/>
      <c r="M17" s="35"/>
      <c r="N17" s="35"/>
      <c r="O17" s="35"/>
      <c r="P17" s="35"/>
      <c r="Q17" s="35"/>
      <c r="R17" s="35"/>
      <c r="S17" s="35"/>
      <c r="T17" s="35"/>
      <c r="U17" s="35"/>
      <c r="V17" s="35"/>
      <c r="W17" s="35"/>
      <c r="X17" s="35"/>
      <c r="Y17" s="35"/>
      <c r="Z17" s="35"/>
    </row>
    <row r="18" customFormat="false" ht="15.75" hidden="false" customHeight="true" outlineLevel="0" collapsed="false">
      <c r="A18" s="29" t="s">
        <v>20</v>
      </c>
      <c r="B18" s="29" t="s">
        <v>287</v>
      </c>
      <c r="C18" s="29" t="s">
        <v>288</v>
      </c>
      <c r="D18" s="29" t="s">
        <v>289</v>
      </c>
      <c r="E18" s="32"/>
      <c r="F18" s="29"/>
      <c r="G18" s="32"/>
      <c r="H18" s="29" t="s">
        <v>286</v>
      </c>
      <c r="I18" s="29"/>
      <c r="J18" s="29"/>
      <c r="K18" s="34"/>
      <c r="L18" s="35"/>
      <c r="M18" s="35"/>
      <c r="N18" s="35"/>
      <c r="O18" s="35"/>
      <c r="P18" s="35"/>
      <c r="Q18" s="35"/>
      <c r="R18" s="35"/>
      <c r="S18" s="35"/>
      <c r="T18" s="35"/>
      <c r="U18" s="35"/>
      <c r="V18" s="35"/>
      <c r="W18" s="35"/>
      <c r="X18" s="35"/>
      <c r="Y18" s="35"/>
      <c r="Z18" s="35"/>
    </row>
    <row r="19" customFormat="false" ht="23.25" hidden="false" customHeight="true" outlineLevel="0" collapsed="false">
      <c r="A19" s="22" t="s">
        <v>20</v>
      </c>
      <c r="B19" s="22" t="s">
        <v>290</v>
      </c>
      <c r="C19" s="22" t="s">
        <v>291</v>
      </c>
      <c r="D19" s="22"/>
      <c r="E19" s="31"/>
      <c r="F19" s="22"/>
      <c r="G19" s="31"/>
      <c r="H19" s="22" t="s">
        <v>292</v>
      </c>
      <c r="I19" s="22" t="s">
        <v>293</v>
      </c>
      <c r="J19" s="22"/>
      <c r="K19" s="22"/>
      <c r="L19" s="35"/>
      <c r="M19" s="35"/>
      <c r="N19" s="35"/>
      <c r="O19" s="35"/>
      <c r="P19" s="35"/>
      <c r="Q19" s="35"/>
      <c r="R19" s="35"/>
      <c r="S19" s="35"/>
      <c r="T19" s="35"/>
      <c r="U19" s="35"/>
      <c r="V19" s="35"/>
      <c r="W19" s="35"/>
      <c r="X19" s="35"/>
      <c r="Y19" s="35"/>
      <c r="Z19" s="35"/>
    </row>
    <row r="20" customFormat="false" ht="325.5" hidden="false" customHeight="true" outlineLevel="0" collapsed="false">
      <c r="A20" s="29" t="s">
        <v>20</v>
      </c>
      <c r="B20" s="29" t="s">
        <v>294</v>
      </c>
      <c r="C20" s="29" t="s">
        <v>295</v>
      </c>
      <c r="D20" s="29"/>
      <c r="E20" s="32"/>
      <c r="F20" s="29"/>
      <c r="G20" s="32"/>
      <c r="H20" s="29"/>
      <c r="I20" s="29"/>
      <c r="J20" s="29"/>
      <c r="K20" s="34"/>
      <c r="L20" s="35"/>
      <c r="M20" s="35"/>
      <c r="N20" s="35"/>
      <c r="O20" s="35"/>
      <c r="P20" s="35"/>
      <c r="Q20" s="35"/>
      <c r="R20" s="35"/>
      <c r="S20" s="35"/>
      <c r="T20" s="35"/>
      <c r="U20" s="35"/>
      <c r="V20" s="35"/>
      <c r="W20" s="35"/>
      <c r="X20" s="35"/>
      <c r="Y20" s="35"/>
      <c r="Z20" s="35"/>
    </row>
    <row r="21" customFormat="false" ht="90.75" hidden="false" customHeight="true" outlineLevel="0" collapsed="false">
      <c r="A21" s="22" t="s">
        <v>20</v>
      </c>
      <c r="B21" s="22" t="s">
        <v>296</v>
      </c>
      <c r="C21" s="22" t="s">
        <v>297</v>
      </c>
      <c r="D21" s="22" t="s">
        <v>298</v>
      </c>
      <c r="E21" s="31"/>
      <c r="F21" s="22"/>
      <c r="G21" s="31"/>
      <c r="H21" s="22" t="s">
        <v>299</v>
      </c>
      <c r="I21" s="22" t="s">
        <v>242</v>
      </c>
      <c r="J21" s="22"/>
      <c r="K21" s="22"/>
      <c r="L21" s="35"/>
      <c r="M21" s="35"/>
      <c r="N21" s="35"/>
      <c r="O21" s="35"/>
      <c r="P21" s="35"/>
      <c r="Q21" s="35"/>
      <c r="R21" s="35"/>
      <c r="S21" s="35"/>
      <c r="T21" s="35"/>
      <c r="U21" s="35"/>
      <c r="V21" s="35"/>
      <c r="W21" s="35"/>
      <c r="X21" s="35"/>
      <c r="Y21" s="35"/>
      <c r="Z21" s="35"/>
    </row>
    <row r="22" customFormat="false" ht="90.75" hidden="false" customHeight="true" outlineLevel="0" collapsed="false">
      <c r="A22" s="29" t="s">
        <v>20</v>
      </c>
      <c r="B22" s="29" t="s">
        <v>300</v>
      </c>
      <c r="C22" s="29" t="s">
        <v>301</v>
      </c>
      <c r="D22" s="29" t="s">
        <v>302</v>
      </c>
      <c r="E22" s="32"/>
      <c r="F22" s="29"/>
      <c r="G22" s="32"/>
      <c r="H22" s="29" t="s">
        <v>303</v>
      </c>
      <c r="I22" s="29" t="s">
        <v>304</v>
      </c>
      <c r="J22" s="29"/>
      <c r="K22" s="34"/>
      <c r="L22" s="35"/>
      <c r="M22" s="35"/>
      <c r="N22" s="35"/>
      <c r="O22" s="35"/>
      <c r="P22" s="35"/>
      <c r="Q22" s="35"/>
      <c r="R22" s="35"/>
      <c r="S22" s="35"/>
      <c r="T22" s="35"/>
      <c r="U22" s="35"/>
      <c r="V22" s="35"/>
      <c r="W22" s="35"/>
      <c r="X22" s="35"/>
      <c r="Y22" s="35"/>
      <c r="Z22" s="35"/>
    </row>
    <row r="23" customFormat="false" ht="45.75" hidden="false" customHeight="true" outlineLevel="0" collapsed="false">
      <c r="A23" s="22" t="s">
        <v>20</v>
      </c>
      <c r="B23" s="22" t="s">
        <v>305</v>
      </c>
      <c r="C23" s="22" t="s">
        <v>306</v>
      </c>
      <c r="D23" s="22" t="s">
        <v>307</v>
      </c>
      <c r="E23" s="31"/>
      <c r="F23" s="22"/>
      <c r="G23" s="31"/>
      <c r="H23" s="22" t="s">
        <v>308</v>
      </c>
      <c r="I23" s="22" t="s">
        <v>309</v>
      </c>
      <c r="J23" s="22"/>
      <c r="K23" s="22"/>
      <c r="L23" s="35"/>
      <c r="M23" s="35"/>
      <c r="N23" s="35"/>
      <c r="O23" s="35"/>
      <c r="P23" s="35"/>
      <c r="Q23" s="35"/>
      <c r="R23" s="35"/>
      <c r="S23" s="35"/>
      <c r="T23" s="35"/>
      <c r="U23" s="35"/>
      <c r="V23" s="35"/>
      <c r="W23" s="35"/>
      <c r="X23" s="35"/>
      <c r="Y23" s="35"/>
      <c r="Z23" s="35"/>
    </row>
    <row r="24" customFormat="false" ht="45.75" hidden="false" customHeight="true" outlineLevel="0" collapsed="false">
      <c r="A24" s="29" t="s">
        <v>20</v>
      </c>
      <c r="B24" s="29" t="s">
        <v>310</v>
      </c>
      <c r="C24" s="29" t="s">
        <v>311</v>
      </c>
      <c r="D24" s="29" t="s">
        <v>312</v>
      </c>
      <c r="E24" s="29"/>
      <c r="F24" s="29"/>
      <c r="G24" s="29"/>
      <c r="H24" s="29"/>
      <c r="I24" s="29"/>
      <c r="J24" s="29"/>
      <c r="K24" s="36"/>
      <c r="L24" s="37"/>
      <c r="M24" s="37"/>
      <c r="N24" s="37"/>
      <c r="O24" s="37"/>
      <c r="P24" s="37"/>
      <c r="Q24" s="37"/>
      <c r="R24" s="37"/>
      <c r="S24" s="37"/>
      <c r="T24" s="37"/>
      <c r="U24" s="37"/>
      <c r="V24" s="37"/>
      <c r="W24" s="37"/>
      <c r="X24" s="37"/>
      <c r="Y24" s="37"/>
      <c r="Z24" s="38"/>
    </row>
    <row r="25" customFormat="false" ht="23.25" hidden="false" customHeight="true" outlineLevel="0" collapsed="false">
      <c r="A25" s="22" t="s">
        <v>20</v>
      </c>
      <c r="B25" s="22" t="s">
        <v>313</v>
      </c>
      <c r="C25" s="22" t="s">
        <v>314</v>
      </c>
      <c r="D25" s="22"/>
      <c r="E25" s="22"/>
      <c r="F25" s="22"/>
      <c r="G25" s="22"/>
      <c r="H25" s="22"/>
      <c r="I25" s="22"/>
      <c r="J25" s="22"/>
      <c r="K25" s="22"/>
      <c r="L25" s="37"/>
      <c r="M25" s="37"/>
      <c r="N25" s="37"/>
      <c r="O25" s="37"/>
      <c r="P25" s="37"/>
      <c r="Q25" s="37"/>
      <c r="R25" s="37"/>
      <c r="S25" s="37"/>
      <c r="T25" s="37"/>
      <c r="U25" s="37"/>
      <c r="V25" s="37"/>
      <c r="W25" s="37"/>
      <c r="X25" s="37"/>
      <c r="Y25" s="37"/>
      <c r="Z25" s="38"/>
    </row>
    <row r="26" customFormat="false" ht="23.25" hidden="false" customHeight="true" outlineLevel="0" collapsed="false">
      <c r="A26" s="29" t="s">
        <v>20</v>
      </c>
      <c r="B26" s="29" t="s">
        <v>315</v>
      </c>
      <c r="C26" s="29" t="s">
        <v>316</v>
      </c>
      <c r="D26" s="29" t="s">
        <v>317</v>
      </c>
      <c r="E26" s="29"/>
      <c r="F26" s="29"/>
      <c r="G26" s="29"/>
      <c r="H26" s="29" t="s">
        <v>318</v>
      </c>
      <c r="I26" s="29" t="s">
        <v>319</v>
      </c>
      <c r="J26" s="29"/>
      <c r="K26" s="36"/>
      <c r="L26" s="37"/>
      <c r="M26" s="37"/>
      <c r="N26" s="37"/>
      <c r="O26" s="37"/>
      <c r="P26" s="37"/>
      <c r="Q26" s="37"/>
      <c r="R26" s="37"/>
      <c r="S26" s="37"/>
      <c r="T26" s="37"/>
      <c r="U26" s="37"/>
      <c r="V26" s="37"/>
      <c r="W26" s="37"/>
      <c r="X26" s="37"/>
      <c r="Y26" s="37"/>
      <c r="Z26" s="38"/>
    </row>
    <row r="27" customFormat="false" ht="23.25" hidden="false" customHeight="true" outlineLevel="0" collapsed="false">
      <c r="A27" s="22" t="s">
        <v>20</v>
      </c>
      <c r="B27" s="22" t="s">
        <v>320</v>
      </c>
      <c r="C27" s="22"/>
      <c r="D27" s="22"/>
      <c r="E27" s="22"/>
      <c r="F27" s="22"/>
      <c r="G27" s="22"/>
      <c r="H27" s="22" t="s">
        <v>321</v>
      </c>
      <c r="I27" s="22" t="s">
        <v>322</v>
      </c>
      <c r="J27" s="22"/>
      <c r="K27" s="22"/>
      <c r="L27" s="37"/>
      <c r="M27" s="37"/>
      <c r="N27" s="37"/>
      <c r="O27" s="37"/>
      <c r="P27" s="37"/>
      <c r="Q27" s="37"/>
      <c r="R27" s="37"/>
      <c r="S27" s="37"/>
      <c r="T27" s="37"/>
      <c r="U27" s="37"/>
      <c r="V27" s="37"/>
      <c r="W27" s="37"/>
      <c r="X27" s="37"/>
      <c r="Y27" s="37"/>
      <c r="Z27" s="38"/>
    </row>
    <row r="28" customFormat="false" ht="34.5" hidden="false" customHeight="true" outlineLevel="0" collapsed="false">
      <c r="A28" s="29" t="s">
        <v>20</v>
      </c>
      <c r="B28" s="29" t="s">
        <v>323</v>
      </c>
      <c r="C28" s="29" t="s">
        <v>324</v>
      </c>
      <c r="D28" s="29"/>
      <c r="E28" s="29"/>
      <c r="F28" s="29"/>
      <c r="G28" s="29"/>
      <c r="H28" s="29" t="s">
        <v>325</v>
      </c>
      <c r="I28" s="29" t="s">
        <v>326</v>
      </c>
      <c r="J28" s="29"/>
      <c r="K28" s="36"/>
      <c r="L28" s="37"/>
      <c r="M28" s="37"/>
      <c r="N28" s="37"/>
      <c r="O28" s="37"/>
      <c r="P28" s="37"/>
      <c r="Q28" s="37"/>
      <c r="R28" s="37"/>
      <c r="S28" s="37"/>
      <c r="T28" s="37"/>
      <c r="U28" s="37"/>
      <c r="V28" s="37"/>
      <c r="W28" s="37"/>
      <c r="X28" s="37"/>
      <c r="Y28" s="37"/>
      <c r="Z28" s="38"/>
    </row>
    <row r="29" customFormat="false" ht="15.75" hidden="false" customHeight="true" outlineLevel="0" collapsed="false">
      <c r="A29" s="22" t="s">
        <v>20</v>
      </c>
      <c r="B29" s="22" t="s">
        <v>327</v>
      </c>
      <c r="C29" s="22" t="s">
        <v>328</v>
      </c>
      <c r="D29" s="22" t="s">
        <v>329</v>
      </c>
      <c r="E29" s="22"/>
      <c r="F29" s="22"/>
      <c r="G29" s="22"/>
      <c r="H29" s="22"/>
      <c r="I29" s="22"/>
      <c r="J29" s="22"/>
      <c r="K29" s="22"/>
      <c r="L29" s="37"/>
      <c r="M29" s="37"/>
      <c r="N29" s="37"/>
      <c r="O29" s="37"/>
      <c r="P29" s="37"/>
      <c r="Q29" s="37"/>
      <c r="R29" s="37"/>
      <c r="S29" s="37"/>
      <c r="T29" s="37"/>
      <c r="U29" s="37"/>
      <c r="V29" s="37"/>
      <c r="W29" s="37"/>
      <c r="X29" s="37"/>
      <c r="Y29" s="37"/>
      <c r="Z29" s="38"/>
    </row>
    <row r="30" customFormat="false" ht="23.25" hidden="false" customHeight="true" outlineLevel="0" collapsed="false">
      <c r="A30" s="19" t="s">
        <v>19</v>
      </c>
      <c r="B30" s="33" t="s">
        <v>330</v>
      </c>
      <c r="C30" s="29" t="s">
        <v>238</v>
      </c>
      <c r="D30" s="29" t="s">
        <v>331</v>
      </c>
      <c r="E30" s="32" t="n">
        <v>45813</v>
      </c>
      <c r="F30" s="29" t="s">
        <v>252</v>
      </c>
      <c r="G30" s="29"/>
      <c r="H30" s="29" t="s">
        <v>332</v>
      </c>
      <c r="I30" s="29" t="s">
        <v>333</v>
      </c>
      <c r="J30" s="33" t="s">
        <v>236</v>
      </c>
      <c r="K30" s="33"/>
    </row>
    <row r="31" customFormat="false" ht="34.5" hidden="false" customHeight="true" outlineLevel="0" collapsed="false">
      <c r="A31" s="22" t="s">
        <v>19</v>
      </c>
      <c r="B31" s="22" t="s">
        <v>334</v>
      </c>
      <c r="C31" s="22" t="s">
        <v>335</v>
      </c>
      <c r="D31" s="22" t="s">
        <v>336</v>
      </c>
      <c r="E31" s="31" t="n">
        <v>45813</v>
      </c>
      <c r="F31" s="22" t="s">
        <v>337</v>
      </c>
      <c r="G31" s="22"/>
      <c r="H31" s="22" t="s">
        <v>338</v>
      </c>
      <c r="I31" s="22" t="s">
        <v>339</v>
      </c>
      <c r="J31" s="22" t="s">
        <v>236</v>
      </c>
      <c r="K31" s="22"/>
    </row>
    <row r="32" customFormat="false" ht="34.5" hidden="false" customHeight="true" outlineLevel="0" collapsed="false">
      <c r="A32" s="19" t="s">
        <v>19</v>
      </c>
      <c r="B32" s="19" t="s">
        <v>340</v>
      </c>
      <c r="C32" s="19" t="s">
        <v>341</v>
      </c>
      <c r="D32" s="19" t="s">
        <v>342</v>
      </c>
      <c r="E32" s="19"/>
      <c r="F32" s="19" t="s">
        <v>252</v>
      </c>
      <c r="G32" s="19" t="s">
        <v>343</v>
      </c>
      <c r="H32" s="19" t="s">
        <v>344</v>
      </c>
      <c r="I32" s="19" t="s">
        <v>248</v>
      </c>
      <c r="J32" s="19" t="s">
        <v>5</v>
      </c>
      <c r="K32" s="19"/>
    </row>
    <row r="33" customFormat="false" ht="23.25" hidden="false" customHeight="true" outlineLevel="0" collapsed="false">
      <c r="A33" s="22" t="s">
        <v>19</v>
      </c>
      <c r="B33" s="22" t="s">
        <v>345</v>
      </c>
      <c r="C33" s="22" t="s">
        <v>346</v>
      </c>
      <c r="D33" s="22" t="s">
        <v>347</v>
      </c>
      <c r="E33" s="31" t="n">
        <v>45824</v>
      </c>
      <c r="F33" s="22" t="s">
        <v>252</v>
      </c>
      <c r="G33" s="22"/>
      <c r="H33" s="22" t="s">
        <v>348</v>
      </c>
      <c r="I33" s="22" t="s">
        <v>349</v>
      </c>
      <c r="J33" s="22" t="s">
        <v>236</v>
      </c>
      <c r="K33" s="22"/>
    </row>
    <row r="34" customFormat="false" ht="23.25" hidden="false" customHeight="true" outlineLevel="0" collapsed="false">
      <c r="A34" s="19" t="s">
        <v>19</v>
      </c>
      <c r="B34" s="19" t="s">
        <v>350</v>
      </c>
      <c r="C34" s="29" t="s">
        <v>351</v>
      </c>
      <c r="D34" s="19" t="s">
        <v>240</v>
      </c>
      <c r="E34" s="32" t="n">
        <v>45824</v>
      </c>
      <c r="F34" s="29" t="s">
        <v>240</v>
      </c>
      <c r="G34" s="29"/>
      <c r="H34" s="29" t="s">
        <v>352</v>
      </c>
      <c r="I34" s="29" t="s">
        <v>353</v>
      </c>
      <c r="J34" s="33" t="s">
        <v>236</v>
      </c>
      <c r="K34" s="19"/>
    </row>
    <row r="35" customFormat="false" ht="34.5" hidden="false" customHeight="true" outlineLevel="0" collapsed="false">
      <c r="A35" s="22" t="s">
        <v>19</v>
      </c>
      <c r="B35" s="22" t="s">
        <v>354</v>
      </c>
      <c r="C35" s="22" t="s">
        <v>355</v>
      </c>
      <c r="D35" s="22" t="s">
        <v>240</v>
      </c>
      <c r="E35" s="31" t="n">
        <v>45824</v>
      </c>
      <c r="F35" s="22" t="s">
        <v>240</v>
      </c>
      <c r="G35" s="22"/>
      <c r="H35" s="22" t="s">
        <v>356</v>
      </c>
      <c r="I35" s="22" t="s">
        <v>357</v>
      </c>
      <c r="J35" s="22" t="s">
        <v>236</v>
      </c>
      <c r="K35" s="22"/>
    </row>
    <row r="36" customFormat="false" ht="34.5" hidden="false" customHeight="true" outlineLevel="0" collapsed="false">
      <c r="A36" s="19" t="s">
        <v>19</v>
      </c>
      <c r="B36" s="19" t="s">
        <v>358</v>
      </c>
      <c r="C36" s="29"/>
      <c r="D36" s="19" t="s">
        <v>359</v>
      </c>
      <c r="E36" s="32" t="n">
        <v>45824</v>
      </c>
      <c r="F36" s="29" t="s">
        <v>252</v>
      </c>
      <c r="G36" s="29"/>
      <c r="H36" s="29" t="s">
        <v>360</v>
      </c>
      <c r="I36" s="29" t="s">
        <v>361</v>
      </c>
      <c r="J36" s="33" t="s">
        <v>236</v>
      </c>
      <c r="K36" s="19"/>
    </row>
    <row r="37" customFormat="false" ht="23.25" hidden="false" customHeight="true" outlineLevel="0" collapsed="false">
      <c r="A37" s="22" t="s">
        <v>19</v>
      </c>
      <c r="B37" s="22" t="s">
        <v>362</v>
      </c>
      <c r="C37" s="22" t="s">
        <v>363</v>
      </c>
      <c r="D37" s="22" t="s">
        <v>364</v>
      </c>
      <c r="E37" s="31" t="n">
        <v>45824</v>
      </c>
      <c r="F37" s="22" t="s">
        <v>213</v>
      </c>
      <c r="G37" s="22" t="s">
        <v>365</v>
      </c>
      <c r="H37" s="22" t="s">
        <v>366</v>
      </c>
      <c r="I37" s="22" t="s">
        <v>367</v>
      </c>
      <c r="J37" s="22" t="s">
        <v>217</v>
      </c>
      <c r="K37" s="22"/>
    </row>
    <row r="38" customFormat="false" ht="23.25" hidden="false" customHeight="true" outlineLevel="0" collapsed="false">
      <c r="A38" s="19" t="s">
        <v>19</v>
      </c>
      <c r="B38" s="19" t="s">
        <v>368</v>
      </c>
      <c r="C38" s="29" t="s">
        <v>369</v>
      </c>
      <c r="D38" s="19" t="s">
        <v>370</v>
      </c>
      <c r="E38" s="39" t="n">
        <v>45833</v>
      </c>
      <c r="F38" s="29" t="s">
        <v>337</v>
      </c>
      <c r="G38" s="39"/>
      <c r="H38" s="29"/>
      <c r="I38" s="29"/>
      <c r="J38" s="33"/>
      <c r="K38" s="19"/>
    </row>
    <row r="39" customFormat="false" ht="15.75" hidden="false" customHeight="true" outlineLevel="0" collapsed="false">
      <c r="A39" s="22" t="s">
        <v>19</v>
      </c>
      <c r="B39" s="22" t="s">
        <v>371</v>
      </c>
      <c r="C39" s="22" t="s">
        <v>372</v>
      </c>
      <c r="D39" s="22" t="s">
        <v>373</v>
      </c>
      <c r="E39" s="31" t="n">
        <v>45833</v>
      </c>
      <c r="F39" s="22" t="s">
        <v>337</v>
      </c>
      <c r="G39" s="31"/>
      <c r="H39" s="22"/>
      <c r="I39" s="22"/>
      <c r="J39" s="22"/>
      <c r="K39" s="22"/>
    </row>
    <row r="40" customFormat="false" ht="23.25" hidden="false" customHeight="true" outlineLevel="0" collapsed="false">
      <c r="A40" s="19" t="s">
        <v>19</v>
      </c>
      <c r="B40" s="19" t="s">
        <v>374</v>
      </c>
      <c r="C40" s="19"/>
      <c r="D40" s="19" t="s">
        <v>375</v>
      </c>
      <c r="E40" s="19" t="s">
        <v>376</v>
      </c>
      <c r="F40" s="40"/>
      <c r="G40" s="19"/>
      <c r="H40" s="19"/>
      <c r="I40" s="19"/>
      <c r="J40" s="19"/>
      <c r="K40" s="19"/>
    </row>
    <row r="41" customFormat="false" ht="34.5" hidden="false" customHeight="true" outlineLevel="0" collapsed="false">
      <c r="A41" s="22" t="s">
        <v>19</v>
      </c>
      <c r="B41" s="22" t="s">
        <v>377</v>
      </c>
      <c r="C41" s="22" t="s">
        <v>378</v>
      </c>
      <c r="D41" s="22" t="s">
        <v>379</v>
      </c>
      <c r="E41" s="31" t="n">
        <v>45839</v>
      </c>
      <c r="F41" s="22" t="s">
        <v>252</v>
      </c>
      <c r="G41" s="22" t="s">
        <v>380</v>
      </c>
      <c r="H41" s="22"/>
      <c r="I41" s="22"/>
      <c r="J41" s="22" t="s">
        <v>381</v>
      </c>
      <c r="K41" s="22"/>
    </row>
    <row r="42" customFormat="false" ht="34.5" hidden="false" customHeight="true" outlineLevel="0" collapsed="false">
      <c r="A42" s="19" t="s">
        <v>19</v>
      </c>
      <c r="B42" s="19" t="s">
        <v>382</v>
      </c>
      <c r="C42" s="29" t="s">
        <v>383</v>
      </c>
      <c r="D42" s="19" t="s">
        <v>384</v>
      </c>
      <c r="E42" s="39" t="n">
        <v>45862</v>
      </c>
      <c r="F42" s="29" t="s">
        <v>213</v>
      </c>
      <c r="G42" s="39"/>
      <c r="H42" s="29"/>
      <c r="I42" s="29"/>
      <c r="J42" s="33"/>
      <c r="K42" s="19"/>
    </row>
    <row r="43" customFormat="false" ht="68.25" hidden="false" customHeight="true" outlineLevel="0" collapsed="false">
      <c r="A43" s="22" t="s">
        <v>19</v>
      </c>
      <c r="B43" s="22" t="s">
        <v>385</v>
      </c>
      <c r="C43" s="22"/>
      <c r="D43" s="22" t="s">
        <v>386</v>
      </c>
      <c r="E43" s="31" t="n">
        <v>45862</v>
      </c>
      <c r="F43" s="22" t="s">
        <v>213</v>
      </c>
      <c r="G43" s="31"/>
      <c r="H43" s="22"/>
      <c r="I43" s="22"/>
      <c r="J43" s="22"/>
      <c r="K43" s="22"/>
    </row>
    <row r="44" customFormat="false" ht="23.25" hidden="false" customHeight="true" outlineLevel="0" collapsed="false">
      <c r="A44" s="19" t="s">
        <v>19</v>
      </c>
      <c r="B44" s="19" t="s">
        <v>387</v>
      </c>
      <c r="C44" s="29"/>
      <c r="D44" s="19" t="s">
        <v>388</v>
      </c>
      <c r="E44" s="39" t="n">
        <v>45863</v>
      </c>
      <c r="F44" s="29" t="s">
        <v>252</v>
      </c>
      <c r="G44" s="39"/>
      <c r="H44" s="29"/>
      <c r="I44" s="29"/>
      <c r="J44" s="33"/>
      <c r="K44" s="19"/>
    </row>
    <row r="45" customFormat="false" ht="68.25" hidden="false" customHeight="true" outlineLevel="0" collapsed="false">
      <c r="A45" s="22" t="s">
        <v>19</v>
      </c>
      <c r="B45" s="22" t="s">
        <v>389</v>
      </c>
      <c r="C45" s="22" t="s">
        <v>390</v>
      </c>
      <c r="D45" s="22" t="s">
        <v>391</v>
      </c>
      <c r="E45" s="31" t="n">
        <v>45863</v>
      </c>
      <c r="F45" s="22" t="s">
        <v>240</v>
      </c>
      <c r="G45" s="22"/>
      <c r="H45" s="22" t="s">
        <v>392</v>
      </c>
      <c r="I45" s="22" t="s">
        <v>393</v>
      </c>
      <c r="J45" s="22"/>
      <c r="K45" s="22"/>
    </row>
    <row r="46" customFormat="false" ht="79.5" hidden="false" customHeight="true" outlineLevel="0" collapsed="false">
      <c r="A46" s="19" t="s">
        <v>19</v>
      </c>
      <c r="B46" s="19" t="s">
        <v>394</v>
      </c>
      <c r="C46" s="19" t="s">
        <v>395</v>
      </c>
      <c r="D46" s="19" t="s">
        <v>396</v>
      </c>
      <c r="E46" s="32" t="n">
        <v>45863</v>
      </c>
      <c r="F46" s="29" t="s">
        <v>397</v>
      </c>
      <c r="G46" s="19" t="s">
        <v>398</v>
      </c>
      <c r="H46" s="19" t="s">
        <v>399</v>
      </c>
      <c r="I46" s="29"/>
      <c r="J46" s="33"/>
      <c r="K46" s="19"/>
    </row>
    <row r="47" customFormat="false" ht="68.25" hidden="false" customHeight="true" outlineLevel="0" collapsed="false">
      <c r="A47" s="22" t="s">
        <v>19</v>
      </c>
      <c r="B47" s="22" t="s">
        <v>400</v>
      </c>
      <c r="C47" s="22" t="s">
        <v>401</v>
      </c>
      <c r="D47" s="22" t="s">
        <v>402</v>
      </c>
      <c r="E47" s="22"/>
      <c r="F47" s="41"/>
      <c r="G47" s="22" t="s">
        <v>403</v>
      </c>
      <c r="H47" s="22" t="s">
        <v>404</v>
      </c>
      <c r="I47" s="22"/>
      <c r="J47" s="22" t="s">
        <v>381</v>
      </c>
      <c r="K47" s="22"/>
    </row>
    <row r="48" customFormat="false" ht="57" hidden="false" customHeight="true" outlineLevel="0" collapsed="false">
      <c r="A48" s="19" t="s">
        <v>19</v>
      </c>
      <c r="B48" s="19" t="s">
        <v>405</v>
      </c>
      <c r="C48" s="19" t="s">
        <v>406</v>
      </c>
      <c r="D48" s="19" t="s">
        <v>407</v>
      </c>
      <c r="E48" s="29"/>
      <c r="F48" s="42"/>
      <c r="G48" s="19" t="s">
        <v>408</v>
      </c>
      <c r="H48" s="19"/>
      <c r="I48" s="29" t="s">
        <v>409</v>
      </c>
      <c r="J48" s="33" t="s">
        <v>381</v>
      </c>
      <c r="K48" s="19"/>
    </row>
    <row r="49" customFormat="false" ht="34.5" hidden="false" customHeight="true" outlineLevel="0" collapsed="false">
      <c r="A49" s="22" t="s">
        <v>19</v>
      </c>
      <c r="B49" s="22" t="s">
        <v>410</v>
      </c>
      <c r="C49" s="22" t="s">
        <v>411</v>
      </c>
      <c r="D49" s="22" t="s">
        <v>412</v>
      </c>
      <c r="E49" s="31" t="n">
        <v>45863</v>
      </c>
      <c r="F49" s="22" t="s">
        <v>413</v>
      </c>
      <c r="G49" s="22" t="s">
        <v>414</v>
      </c>
      <c r="H49" s="22"/>
      <c r="I49" s="22"/>
      <c r="J49" s="22"/>
      <c r="K49" s="22"/>
    </row>
    <row r="50" customFormat="false" ht="57" hidden="false" customHeight="true" outlineLevel="0" collapsed="false">
      <c r="A50" s="19" t="s">
        <v>19</v>
      </c>
      <c r="B50" s="19" t="s">
        <v>415</v>
      </c>
      <c r="C50" s="19" t="s">
        <v>416</v>
      </c>
      <c r="D50" s="19" t="s">
        <v>417</v>
      </c>
      <c r="E50" s="32" t="n">
        <v>45863</v>
      </c>
      <c r="F50" s="29" t="s">
        <v>413</v>
      </c>
      <c r="G50" s="19" t="s">
        <v>418</v>
      </c>
      <c r="H50" s="19"/>
      <c r="I50" s="29"/>
      <c r="J50" s="33" t="s">
        <v>5</v>
      </c>
      <c r="K50" s="19"/>
    </row>
    <row r="51" customFormat="false" ht="79.5" hidden="false" customHeight="true" outlineLevel="0" collapsed="false">
      <c r="A51" s="22" t="s">
        <v>19</v>
      </c>
      <c r="B51" s="22" t="s">
        <v>419</v>
      </c>
      <c r="C51" s="22" t="s">
        <v>420</v>
      </c>
      <c r="D51" s="22" t="s">
        <v>421</v>
      </c>
      <c r="E51" s="22"/>
      <c r="F51" s="41"/>
      <c r="G51" s="22"/>
      <c r="H51" s="22"/>
      <c r="I51" s="22" t="s">
        <v>422</v>
      </c>
      <c r="J51" s="22"/>
      <c r="K51" s="22"/>
    </row>
    <row r="52" customFormat="false" ht="57" hidden="false" customHeight="true" outlineLevel="0" collapsed="false">
      <c r="A52" s="19" t="s">
        <v>19</v>
      </c>
      <c r="B52" s="19" t="s">
        <v>423</v>
      </c>
      <c r="C52" s="19" t="s">
        <v>424</v>
      </c>
      <c r="D52" s="19" t="s">
        <v>425</v>
      </c>
      <c r="E52" s="29"/>
      <c r="F52" s="42"/>
      <c r="G52" s="19"/>
      <c r="H52" s="19"/>
      <c r="I52" s="19" t="s">
        <v>242</v>
      </c>
      <c r="J52" s="33"/>
      <c r="K52" s="19"/>
    </row>
    <row r="53" customFormat="false" ht="79.5" hidden="false" customHeight="true" outlineLevel="0" collapsed="false">
      <c r="A53" s="22" t="s">
        <v>19</v>
      </c>
      <c r="B53" s="22" t="s">
        <v>426</v>
      </c>
      <c r="C53" s="22" t="s">
        <v>427</v>
      </c>
      <c r="D53" s="22" t="s">
        <v>428</v>
      </c>
      <c r="E53" s="22"/>
      <c r="F53" s="41"/>
      <c r="G53" s="22"/>
      <c r="H53" s="22"/>
      <c r="I53" s="22"/>
      <c r="J53" s="22"/>
      <c r="K53" s="22"/>
    </row>
    <row r="54" customFormat="false" ht="79.5" hidden="false" customHeight="true" outlineLevel="0" collapsed="false">
      <c r="A54" s="19" t="s">
        <v>19</v>
      </c>
      <c r="B54" s="19" t="s">
        <v>429</v>
      </c>
      <c r="C54" s="19" t="s">
        <v>430</v>
      </c>
      <c r="D54" s="19" t="s">
        <v>431</v>
      </c>
      <c r="E54" s="29"/>
      <c r="F54" s="42"/>
      <c r="G54" s="19"/>
      <c r="H54" s="19"/>
      <c r="I54" s="19" t="s">
        <v>432</v>
      </c>
      <c r="J54" s="33"/>
      <c r="K54" s="19"/>
    </row>
    <row r="55" customFormat="false" ht="135.75" hidden="false" customHeight="true" outlineLevel="0" collapsed="false">
      <c r="A55" s="22" t="s">
        <v>19</v>
      </c>
      <c r="B55" s="22" t="s">
        <v>433</v>
      </c>
      <c r="C55" s="22" t="s">
        <v>434</v>
      </c>
      <c r="D55" s="22" t="s">
        <v>435</v>
      </c>
      <c r="E55" s="22"/>
      <c r="F55" s="41"/>
      <c r="G55" s="22"/>
      <c r="H55" s="22" t="s">
        <v>436</v>
      </c>
      <c r="I55" s="22" t="s">
        <v>437</v>
      </c>
      <c r="J55" s="22"/>
      <c r="K55" s="22"/>
    </row>
    <row r="56" customFormat="false" ht="34.5" hidden="false" customHeight="true" outlineLevel="0" collapsed="false">
      <c r="A56" s="19" t="s">
        <v>19</v>
      </c>
      <c r="B56" s="19" t="s">
        <v>438</v>
      </c>
      <c r="C56" s="19" t="s">
        <v>439</v>
      </c>
      <c r="D56" s="19" t="s">
        <v>440</v>
      </c>
      <c r="E56" s="29"/>
      <c r="F56" s="42"/>
      <c r="G56" s="19"/>
      <c r="H56" s="19" t="s">
        <v>441</v>
      </c>
      <c r="I56" s="29" t="s">
        <v>442</v>
      </c>
      <c r="J56" s="33"/>
      <c r="K56" s="19"/>
    </row>
    <row r="57" customFormat="false" ht="15.75" hidden="false" customHeight="true" outlineLevel="0" collapsed="false">
      <c r="A57" s="22" t="s">
        <v>19</v>
      </c>
      <c r="B57" s="22" t="s">
        <v>443</v>
      </c>
      <c r="C57" s="22" t="s">
        <v>444</v>
      </c>
      <c r="D57" s="22" t="s">
        <v>445</v>
      </c>
      <c r="E57" s="22"/>
      <c r="F57" s="41"/>
      <c r="G57" s="22"/>
      <c r="H57" s="22" t="s">
        <v>446</v>
      </c>
      <c r="I57" s="22" t="s">
        <v>447</v>
      </c>
      <c r="J57" s="22"/>
      <c r="K57" s="22"/>
    </row>
    <row r="58" customFormat="false" ht="23.25" hidden="false" customHeight="true" outlineLevel="0" collapsed="false">
      <c r="A58" s="19" t="s">
        <v>19</v>
      </c>
      <c r="B58" s="19" t="s">
        <v>448</v>
      </c>
      <c r="C58" s="29" t="s">
        <v>449</v>
      </c>
      <c r="D58" s="29" t="s">
        <v>450</v>
      </c>
      <c r="E58" s="32" t="n">
        <v>45875</v>
      </c>
      <c r="F58" s="29" t="s">
        <v>213</v>
      </c>
      <c r="G58" s="29"/>
      <c r="H58" s="29"/>
      <c r="I58" s="29"/>
      <c r="J58" s="33"/>
      <c r="K58" s="19"/>
    </row>
    <row r="59" customFormat="false" ht="23.25" hidden="false" customHeight="true" outlineLevel="0" collapsed="false">
      <c r="A59" s="22" t="s">
        <v>19</v>
      </c>
      <c r="B59" s="22" t="s">
        <v>451</v>
      </c>
      <c r="C59" s="22" t="s">
        <v>449</v>
      </c>
      <c r="D59" s="22" t="s">
        <v>452</v>
      </c>
      <c r="E59" s="31" t="n">
        <v>45875</v>
      </c>
      <c r="F59" s="22" t="s">
        <v>213</v>
      </c>
      <c r="G59" s="22"/>
      <c r="H59" s="22" t="s">
        <v>453</v>
      </c>
      <c r="I59" s="22"/>
      <c r="J59" s="22"/>
      <c r="K59" s="22"/>
    </row>
    <row r="60" customFormat="false" ht="23.25" hidden="false" customHeight="true" outlineLevel="0" collapsed="false">
      <c r="A60" s="19" t="s">
        <v>17</v>
      </c>
      <c r="B60" s="43" t="s">
        <v>454</v>
      </c>
      <c r="C60" s="29" t="s">
        <v>455</v>
      </c>
      <c r="D60" s="29" t="s">
        <v>456</v>
      </c>
      <c r="E60" s="32"/>
      <c r="F60" s="29" t="s">
        <v>413</v>
      </c>
      <c r="G60" s="29"/>
      <c r="H60" s="29" t="s">
        <v>457</v>
      </c>
      <c r="I60" s="44" t="n">
        <v>3600</v>
      </c>
      <c r="J60" s="33" t="s">
        <v>458</v>
      </c>
      <c r="K60" s="33"/>
    </row>
    <row r="61" customFormat="false" ht="15.75" hidden="false" customHeight="true" outlineLevel="0" collapsed="false">
      <c r="A61" s="22" t="s">
        <v>17</v>
      </c>
      <c r="B61" s="22" t="s">
        <v>459</v>
      </c>
      <c r="C61" s="22" t="s">
        <v>244</v>
      </c>
      <c r="D61" s="22" t="s">
        <v>460</v>
      </c>
      <c r="E61" s="31" t="n">
        <v>45809</v>
      </c>
      <c r="F61" s="22" t="s">
        <v>213</v>
      </c>
      <c r="G61" s="22"/>
      <c r="H61" s="22"/>
      <c r="I61" s="22"/>
      <c r="J61" s="22"/>
      <c r="K61" s="22"/>
    </row>
    <row r="62" customFormat="false" ht="23.25" hidden="false" customHeight="true" outlineLevel="0" collapsed="false">
      <c r="A62" s="19" t="s">
        <v>17</v>
      </c>
      <c r="B62" s="45" t="s">
        <v>461</v>
      </c>
      <c r="C62" s="29" t="s">
        <v>462</v>
      </c>
      <c r="D62" s="29" t="s">
        <v>463</v>
      </c>
      <c r="E62" s="32" t="n">
        <v>45817</v>
      </c>
      <c r="F62" s="29" t="s">
        <v>337</v>
      </c>
      <c r="G62" s="29" t="s">
        <v>464</v>
      </c>
      <c r="H62" s="29" t="s">
        <v>465</v>
      </c>
      <c r="I62" s="29" t="s">
        <v>466</v>
      </c>
      <c r="J62" s="33" t="s">
        <v>5</v>
      </c>
      <c r="K62" s="33"/>
    </row>
    <row r="63" customFormat="false" ht="34.5" hidden="false" customHeight="true" outlineLevel="0" collapsed="false">
      <c r="A63" s="22" t="s">
        <v>17</v>
      </c>
      <c r="B63" s="22" t="s">
        <v>467</v>
      </c>
      <c r="C63" s="22" t="s">
        <v>468</v>
      </c>
      <c r="D63" s="22" t="s">
        <v>469</v>
      </c>
      <c r="E63" s="31" t="n">
        <v>45817</v>
      </c>
      <c r="F63" s="22" t="s">
        <v>240</v>
      </c>
      <c r="G63" s="22" t="s">
        <v>470</v>
      </c>
      <c r="H63" s="22"/>
      <c r="I63" s="22"/>
      <c r="J63" s="22" t="s">
        <v>236</v>
      </c>
      <c r="K63" s="22"/>
    </row>
    <row r="64" customFormat="false" ht="23.25" hidden="false" customHeight="true" outlineLevel="0" collapsed="false">
      <c r="A64" s="19" t="s">
        <v>17</v>
      </c>
      <c r="B64" s="29" t="s">
        <v>471</v>
      </c>
      <c r="C64" s="19" t="s">
        <v>472</v>
      </c>
      <c r="D64" s="29"/>
      <c r="E64" s="32" t="n">
        <v>45817</v>
      </c>
      <c r="F64" s="29" t="s">
        <v>240</v>
      </c>
      <c r="G64" s="29"/>
      <c r="H64" s="29"/>
      <c r="I64" s="29"/>
      <c r="J64" s="33" t="s">
        <v>236</v>
      </c>
      <c r="K64" s="33"/>
    </row>
    <row r="65" customFormat="false" ht="57" hidden="false" customHeight="true" outlineLevel="0" collapsed="false">
      <c r="A65" s="22" t="s">
        <v>17</v>
      </c>
      <c r="B65" s="22" t="s">
        <v>473</v>
      </c>
      <c r="C65" s="22" t="s">
        <v>474</v>
      </c>
      <c r="D65" s="22" t="s">
        <v>475</v>
      </c>
      <c r="E65" s="31" t="n">
        <v>45817</v>
      </c>
      <c r="F65" s="22" t="s">
        <v>240</v>
      </c>
      <c r="G65" s="22" t="s">
        <v>476</v>
      </c>
      <c r="H65" s="22"/>
      <c r="I65" s="22"/>
      <c r="J65" s="22" t="s">
        <v>217</v>
      </c>
      <c r="K65" s="22"/>
    </row>
    <row r="66" customFormat="false" ht="23.25" hidden="false" customHeight="true" outlineLevel="0" collapsed="false">
      <c r="A66" s="27" t="s">
        <v>17</v>
      </c>
      <c r="B66" s="27" t="s">
        <v>477</v>
      </c>
      <c r="C66" s="27"/>
      <c r="D66" s="27" t="s">
        <v>478</v>
      </c>
      <c r="E66" s="27"/>
      <c r="F66" s="27" t="s">
        <v>213</v>
      </c>
      <c r="G66" s="27" t="s">
        <v>479</v>
      </c>
      <c r="H66" s="27" t="s">
        <v>480</v>
      </c>
      <c r="I66" s="27" t="s">
        <v>481</v>
      </c>
      <c r="J66" s="27" t="s">
        <v>217</v>
      </c>
      <c r="K66" s="27"/>
      <c r="L66" s="46"/>
      <c r="M66" s="46"/>
      <c r="N66" s="46"/>
      <c r="O66" s="46"/>
      <c r="P66" s="46"/>
      <c r="Q66" s="46"/>
      <c r="R66" s="46"/>
      <c r="S66" s="46"/>
      <c r="T66" s="46"/>
      <c r="U66" s="46"/>
      <c r="V66" s="46"/>
      <c r="W66" s="46"/>
      <c r="X66" s="46"/>
      <c r="Y66" s="46"/>
      <c r="Z66" s="46"/>
    </row>
    <row r="67" customFormat="false" ht="23.25" hidden="false" customHeight="true" outlineLevel="0" collapsed="false">
      <c r="A67" s="22" t="s">
        <v>17</v>
      </c>
      <c r="B67" s="22" t="s">
        <v>482</v>
      </c>
      <c r="C67" s="22" t="s">
        <v>483</v>
      </c>
      <c r="D67" s="22" t="s">
        <v>484</v>
      </c>
      <c r="E67" s="31" t="n">
        <v>45818</v>
      </c>
      <c r="F67" s="22" t="s">
        <v>240</v>
      </c>
      <c r="G67" s="22" t="s">
        <v>485</v>
      </c>
      <c r="H67" s="22" t="s">
        <v>486</v>
      </c>
      <c r="I67" s="22" t="s">
        <v>487</v>
      </c>
      <c r="J67" s="22" t="s">
        <v>236</v>
      </c>
      <c r="K67" s="22"/>
    </row>
    <row r="68" customFormat="false" ht="34.5" hidden="false" customHeight="true" outlineLevel="0" collapsed="false">
      <c r="A68" s="19" t="s">
        <v>17</v>
      </c>
      <c r="B68" s="33" t="s">
        <v>488</v>
      </c>
      <c r="C68" s="29" t="s">
        <v>489</v>
      </c>
      <c r="D68" s="29" t="s">
        <v>490</v>
      </c>
      <c r="E68" s="32" t="n">
        <v>45818</v>
      </c>
      <c r="F68" s="29" t="s">
        <v>213</v>
      </c>
      <c r="G68" s="29"/>
      <c r="H68" s="29"/>
      <c r="I68" s="29"/>
      <c r="J68" s="33" t="s">
        <v>236</v>
      </c>
      <c r="K68" s="33"/>
    </row>
    <row r="69" customFormat="false" ht="23.25" hidden="false" customHeight="true" outlineLevel="0" collapsed="false">
      <c r="A69" s="22" t="s">
        <v>17</v>
      </c>
      <c r="B69" s="22" t="s">
        <v>491</v>
      </c>
      <c r="C69" s="22" t="s">
        <v>492</v>
      </c>
      <c r="D69" s="22" t="s">
        <v>493</v>
      </c>
      <c r="E69" s="31" t="n">
        <v>45818</v>
      </c>
      <c r="F69" s="22" t="s">
        <v>240</v>
      </c>
      <c r="G69" s="22"/>
      <c r="H69" s="22" t="s">
        <v>494</v>
      </c>
      <c r="I69" s="22" t="s">
        <v>495</v>
      </c>
      <c r="J69" s="22" t="s">
        <v>236</v>
      </c>
      <c r="K69" s="22"/>
    </row>
    <row r="70" customFormat="false" ht="34.5" hidden="false" customHeight="true" outlineLevel="0" collapsed="false">
      <c r="A70" s="19" t="s">
        <v>17</v>
      </c>
      <c r="B70" s="45" t="s">
        <v>496</v>
      </c>
      <c r="C70" s="29" t="s">
        <v>497</v>
      </c>
      <c r="D70" s="29" t="s">
        <v>498</v>
      </c>
      <c r="E70" s="32" t="n">
        <v>45818</v>
      </c>
      <c r="F70" s="29" t="s">
        <v>213</v>
      </c>
      <c r="G70" s="29" t="s">
        <v>499</v>
      </c>
      <c r="H70" s="29" t="s">
        <v>500</v>
      </c>
      <c r="I70" s="29" t="s">
        <v>501</v>
      </c>
      <c r="J70" s="33" t="s">
        <v>381</v>
      </c>
      <c r="K70" s="33"/>
    </row>
    <row r="71" customFormat="false" ht="23.25" hidden="false" customHeight="true" outlineLevel="0" collapsed="false">
      <c r="A71" s="22" t="s">
        <v>17</v>
      </c>
      <c r="B71" s="22" t="s">
        <v>502</v>
      </c>
      <c r="C71" s="22" t="s">
        <v>497</v>
      </c>
      <c r="D71" s="22" t="s">
        <v>503</v>
      </c>
      <c r="E71" s="31" t="n">
        <v>45819</v>
      </c>
      <c r="F71" s="22" t="s">
        <v>213</v>
      </c>
      <c r="G71" s="22"/>
      <c r="H71" s="22" t="s">
        <v>504</v>
      </c>
      <c r="I71" s="22" t="s">
        <v>505</v>
      </c>
      <c r="J71" s="22" t="s">
        <v>236</v>
      </c>
      <c r="K71" s="22"/>
    </row>
    <row r="72" customFormat="false" ht="23.25" hidden="false" customHeight="true" outlineLevel="0" collapsed="false">
      <c r="A72" s="19" t="s">
        <v>17</v>
      </c>
      <c r="B72" s="29" t="s">
        <v>506</v>
      </c>
      <c r="C72" s="29" t="s">
        <v>497</v>
      </c>
      <c r="D72" s="29" t="s">
        <v>507</v>
      </c>
      <c r="E72" s="32" t="n">
        <v>45819</v>
      </c>
      <c r="F72" s="29" t="s">
        <v>213</v>
      </c>
      <c r="G72" s="29"/>
      <c r="H72" s="29" t="s">
        <v>508</v>
      </c>
      <c r="I72" s="29" t="s">
        <v>509</v>
      </c>
      <c r="J72" s="33" t="s">
        <v>236</v>
      </c>
      <c r="K72" s="33"/>
    </row>
    <row r="73" customFormat="false" ht="45.75" hidden="false" customHeight="true" outlineLevel="0" collapsed="false">
      <c r="A73" s="22" t="s">
        <v>17</v>
      </c>
      <c r="B73" s="22" t="s">
        <v>510</v>
      </c>
      <c r="C73" s="22" t="s">
        <v>511</v>
      </c>
      <c r="D73" s="22" t="s">
        <v>512</v>
      </c>
      <c r="E73" s="31" t="n">
        <v>45819</v>
      </c>
      <c r="F73" s="22" t="s">
        <v>213</v>
      </c>
      <c r="G73" s="22" t="s">
        <v>513</v>
      </c>
      <c r="H73" s="22" t="s">
        <v>514</v>
      </c>
      <c r="I73" s="22" t="s">
        <v>515</v>
      </c>
      <c r="J73" s="22" t="s">
        <v>217</v>
      </c>
      <c r="K73" s="22"/>
      <c r="L73" s="46"/>
      <c r="M73" s="46"/>
      <c r="N73" s="46"/>
      <c r="O73" s="46"/>
      <c r="P73" s="46"/>
      <c r="Q73" s="46"/>
      <c r="R73" s="46"/>
      <c r="S73" s="46"/>
      <c r="T73" s="46"/>
      <c r="U73" s="46"/>
      <c r="V73" s="46"/>
      <c r="W73" s="46"/>
      <c r="X73" s="46"/>
      <c r="Y73" s="46"/>
      <c r="Z73" s="46"/>
    </row>
    <row r="74" customFormat="false" ht="23.25" hidden="false" customHeight="true" outlineLevel="0" collapsed="false">
      <c r="A74" s="19" t="s">
        <v>17</v>
      </c>
      <c r="B74" s="29" t="s">
        <v>516</v>
      </c>
      <c r="C74" s="29" t="s">
        <v>517</v>
      </c>
      <c r="D74" s="29"/>
      <c r="E74" s="32" t="n">
        <v>45819</v>
      </c>
      <c r="F74" s="29" t="s">
        <v>240</v>
      </c>
      <c r="G74" s="29"/>
      <c r="H74" s="29" t="s">
        <v>518</v>
      </c>
      <c r="I74" s="29" t="s">
        <v>519</v>
      </c>
      <c r="J74" s="33" t="s">
        <v>236</v>
      </c>
      <c r="K74" s="33"/>
    </row>
    <row r="75" customFormat="false" ht="23.25" hidden="false" customHeight="true" outlineLevel="0" collapsed="false">
      <c r="A75" s="22" t="s">
        <v>17</v>
      </c>
      <c r="B75" s="22" t="s">
        <v>520</v>
      </c>
      <c r="C75" s="22" t="s">
        <v>521</v>
      </c>
      <c r="D75" s="22" t="s">
        <v>522</v>
      </c>
      <c r="E75" s="31" t="n">
        <v>45819</v>
      </c>
      <c r="F75" s="22" t="s">
        <v>213</v>
      </c>
      <c r="G75" s="22" t="s">
        <v>523</v>
      </c>
      <c r="H75" s="22" t="s">
        <v>524</v>
      </c>
      <c r="I75" s="22" t="s">
        <v>525</v>
      </c>
      <c r="J75" s="22" t="s">
        <v>236</v>
      </c>
      <c r="K75" s="22"/>
    </row>
    <row r="76" customFormat="false" ht="34.5" hidden="false" customHeight="true" outlineLevel="0" collapsed="false">
      <c r="A76" s="19" t="s">
        <v>17</v>
      </c>
      <c r="B76" s="29" t="s">
        <v>526</v>
      </c>
      <c r="C76" s="29" t="s">
        <v>527</v>
      </c>
      <c r="D76" s="29" t="s">
        <v>528</v>
      </c>
      <c r="E76" s="32" t="n">
        <v>45819</v>
      </c>
      <c r="F76" s="29" t="s">
        <v>213</v>
      </c>
      <c r="G76" s="29"/>
      <c r="H76" s="29" t="s">
        <v>529</v>
      </c>
      <c r="I76" s="29" t="s">
        <v>530</v>
      </c>
      <c r="J76" s="33" t="s">
        <v>236</v>
      </c>
      <c r="K76" s="33" t="s">
        <v>531</v>
      </c>
    </row>
    <row r="77" customFormat="false" ht="45.75" hidden="false" customHeight="true" outlineLevel="0" collapsed="false">
      <c r="A77" s="22" t="s">
        <v>17</v>
      </c>
      <c r="B77" s="22" t="s">
        <v>532</v>
      </c>
      <c r="C77" s="22" t="s">
        <v>533</v>
      </c>
      <c r="D77" s="22" t="s">
        <v>373</v>
      </c>
      <c r="E77" s="31" t="n">
        <v>45819</v>
      </c>
      <c r="F77" s="22" t="s">
        <v>252</v>
      </c>
      <c r="G77" s="22" t="s">
        <v>534</v>
      </c>
      <c r="H77" s="22" t="s">
        <v>535</v>
      </c>
      <c r="I77" s="22" t="s">
        <v>536</v>
      </c>
      <c r="J77" s="22" t="s">
        <v>217</v>
      </c>
      <c r="K77" s="22"/>
      <c r="L77" s="46"/>
      <c r="M77" s="46"/>
      <c r="N77" s="46"/>
      <c r="O77" s="46"/>
      <c r="P77" s="46"/>
      <c r="Q77" s="46"/>
      <c r="R77" s="46"/>
      <c r="S77" s="46"/>
      <c r="T77" s="46"/>
      <c r="U77" s="46"/>
      <c r="V77" s="46"/>
      <c r="W77" s="46"/>
      <c r="X77" s="46"/>
      <c r="Y77" s="46"/>
      <c r="Z77" s="46"/>
    </row>
    <row r="78" customFormat="false" ht="23.25" hidden="false" customHeight="true" outlineLevel="0" collapsed="false">
      <c r="A78" s="19" t="s">
        <v>17</v>
      </c>
      <c r="B78" s="29" t="s">
        <v>537</v>
      </c>
      <c r="C78" s="29" t="s">
        <v>538</v>
      </c>
      <c r="D78" s="29" t="s">
        <v>539</v>
      </c>
      <c r="E78" s="32" t="n">
        <v>45819</v>
      </c>
      <c r="F78" s="29" t="s">
        <v>213</v>
      </c>
      <c r="G78" s="29"/>
      <c r="H78" s="29" t="s">
        <v>540</v>
      </c>
      <c r="I78" s="29" t="s">
        <v>541</v>
      </c>
      <c r="J78" s="33" t="s">
        <v>236</v>
      </c>
      <c r="K78" s="33"/>
    </row>
    <row r="79" customFormat="false" ht="34.5" hidden="false" customHeight="true" outlineLevel="0" collapsed="false">
      <c r="A79" s="22" t="s">
        <v>17</v>
      </c>
      <c r="B79" s="22" t="s">
        <v>542</v>
      </c>
      <c r="C79" s="22"/>
      <c r="D79" s="22" t="s">
        <v>460</v>
      </c>
      <c r="E79" s="31" t="n">
        <v>45819</v>
      </c>
      <c r="F79" s="22" t="s">
        <v>213</v>
      </c>
      <c r="G79" s="22"/>
      <c r="H79" s="22" t="s">
        <v>543</v>
      </c>
      <c r="I79" s="22" t="s">
        <v>544</v>
      </c>
      <c r="J79" s="22" t="s">
        <v>236</v>
      </c>
      <c r="K79" s="22"/>
    </row>
    <row r="80" customFormat="false" ht="15.75" hidden="false" customHeight="true" outlineLevel="0" collapsed="false">
      <c r="A80" s="19" t="s">
        <v>17</v>
      </c>
      <c r="B80" s="29" t="s">
        <v>545</v>
      </c>
      <c r="C80" s="29" t="s">
        <v>546</v>
      </c>
      <c r="D80" s="29" t="s">
        <v>547</v>
      </c>
      <c r="E80" s="32" t="n">
        <v>45819</v>
      </c>
      <c r="F80" s="29" t="s">
        <v>252</v>
      </c>
      <c r="G80" s="29"/>
      <c r="H80" s="29" t="s">
        <v>548</v>
      </c>
      <c r="I80" s="29" t="s">
        <v>549</v>
      </c>
      <c r="J80" s="33" t="s">
        <v>236</v>
      </c>
      <c r="K80" s="33"/>
    </row>
    <row r="81" customFormat="false" ht="23.25" hidden="false" customHeight="true" outlineLevel="0" collapsed="false">
      <c r="A81" s="22" t="s">
        <v>17</v>
      </c>
      <c r="B81" s="22" t="s">
        <v>550</v>
      </c>
      <c r="C81" s="22" t="s">
        <v>551</v>
      </c>
      <c r="D81" s="22" t="s">
        <v>552</v>
      </c>
      <c r="E81" s="31" t="n">
        <v>45819</v>
      </c>
      <c r="F81" s="22" t="s">
        <v>252</v>
      </c>
      <c r="G81" s="22"/>
      <c r="H81" s="22" t="s">
        <v>553</v>
      </c>
      <c r="I81" s="22" t="s">
        <v>554</v>
      </c>
      <c r="J81" s="22" t="s">
        <v>236</v>
      </c>
      <c r="K81" s="22"/>
    </row>
    <row r="82" customFormat="false" ht="15.75" hidden="false" customHeight="true" outlineLevel="0" collapsed="false">
      <c r="A82" s="19" t="s">
        <v>17</v>
      </c>
      <c r="B82" s="19" t="s">
        <v>555</v>
      </c>
      <c r="C82" s="29"/>
      <c r="D82" s="19" t="s">
        <v>556</v>
      </c>
      <c r="E82" s="39" t="n">
        <v>45835</v>
      </c>
      <c r="F82" s="29" t="s">
        <v>213</v>
      </c>
      <c r="G82" s="39"/>
      <c r="H82" s="29"/>
      <c r="I82" s="29"/>
      <c r="J82" s="33"/>
      <c r="K82" s="19"/>
    </row>
    <row r="83" customFormat="false" ht="15.75" hidden="false" customHeight="true" outlineLevel="0" collapsed="false">
      <c r="A83" s="22" t="s">
        <v>17</v>
      </c>
      <c r="B83" s="22" t="s">
        <v>557</v>
      </c>
      <c r="C83" s="22"/>
      <c r="D83" s="22" t="s">
        <v>558</v>
      </c>
      <c r="E83" s="31" t="n">
        <v>45835</v>
      </c>
      <c r="F83" s="22" t="s">
        <v>213</v>
      </c>
      <c r="G83" s="31"/>
      <c r="H83" s="22"/>
      <c r="I83" s="22"/>
      <c r="J83" s="22"/>
      <c r="K83" s="22"/>
    </row>
    <row r="84" customFormat="false" ht="23.25" hidden="false" customHeight="true" outlineLevel="0" collapsed="false">
      <c r="A84" s="19" t="s">
        <v>17</v>
      </c>
      <c r="B84" s="19" t="s">
        <v>559</v>
      </c>
      <c r="C84" s="29"/>
      <c r="D84" s="19" t="s">
        <v>560</v>
      </c>
      <c r="E84" s="39" t="n">
        <v>45835</v>
      </c>
      <c r="F84" s="29" t="s">
        <v>213</v>
      </c>
      <c r="G84" s="39"/>
      <c r="H84" s="29"/>
      <c r="I84" s="29"/>
      <c r="J84" s="33"/>
      <c r="K84" s="19"/>
    </row>
    <row r="85" customFormat="false" ht="15.75" hidden="false" customHeight="true" outlineLevel="0" collapsed="false">
      <c r="A85" s="22" t="s">
        <v>17</v>
      </c>
      <c r="B85" s="22" t="s">
        <v>561</v>
      </c>
      <c r="C85" s="22"/>
      <c r="D85" s="22" t="s">
        <v>562</v>
      </c>
      <c r="E85" s="31" t="n">
        <v>45835</v>
      </c>
      <c r="F85" s="22" t="s">
        <v>213</v>
      </c>
      <c r="G85" s="31"/>
      <c r="H85" s="22"/>
      <c r="I85" s="22"/>
      <c r="J85" s="22"/>
      <c r="K85" s="22"/>
    </row>
    <row r="86" customFormat="false" ht="23.25" hidden="false" customHeight="true" outlineLevel="0" collapsed="false">
      <c r="A86" s="19" t="s">
        <v>17</v>
      </c>
      <c r="B86" s="19" t="s">
        <v>563</v>
      </c>
      <c r="C86" s="29"/>
      <c r="D86" s="19" t="s">
        <v>564</v>
      </c>
      <c r="E86" s="39" t="n">
        <v>45835</v>
      </c>
      <c r="F86" s="29" t="s">
        <v>213</v>
      </c>
      <c r="G86" s="39"/>
      <c r="H86" s="29"/>
      <c r="I86" s="29"/>
      <c r="J86" s="33"/>
      <c r="K86" s="19"/>
    </row>
    <row r="87" customFormat="false" ht="15.75" hidden="false" customHeight="true" outlineLevel="0" collapsed="false">
      <c r="A87" s="22" t="s">
        <v>17</v>
      </c>
      <c r="B87" s="22" t="s">
        <v>565</v>
      </c>
      <c r="C87" s="22"/>
      <c r="D87" s="22" t="s">
        <v>566</v>
      </c>
      <c r="E87" s="31" t="n">
        <v>45835</v>
      </c>
      <c r="F87" s="22" t="s">
        <v>213</v>
      </c>
      <c r="G87" s="31"/>
      <c r="H87" s="22"/>
      <c r="I87" s="22"/>
      <c r="J87" s="22"/>
      <c r="K87" s="22"/>
    </row>
    <row r="88" customFormat="false" ht="15.75" hidden="false" customHeight="true" outlineLevel="0" collapsed="false">
      <c r="A88" s="19" t="s">
        <v>17</v>
      </c>
      <c r="B88" s="19" t="s">
        <v>567</v>
      </c>
      <c r="C88" s="29"/>
      <c r="D88" s="19" t="s">
        <v>568</v>
      </c>
      <c r="E88" s="39" t="n">
        <v>45835</v>
      </c>
      <c r="F88" s="29" t="s">
        <v>213</v>
      </c>
      <c r="G88" s="39"/>
      <c r="H88" s="29"/>
      <c r="I88" s="29"/>
      <c r="J88" s="33"/>
      <c r="K88" s="19"/>
    </row>
    <row r="89" customFormat="false" ht="15.75" hidden="false" customHeight="true" outlineLevel="0" collapsed="false">
      <c r="A89" s="22" t="s">
        <v>17</v>
      </c>
      <c r="B89" s="22" t="s">
        <v>569</v>
      </c>
      <c r="C89" s="22"/>
      <c r="D89" s="22" t="s">
        <v>570</v>
      </c>
      <c r="E89" s="31" t="n">
        <v>45835</v>
      </c>
      <c r="F89" s="22" t="s">
        <v>213</v>
      </c>
      <c r="G89" s="31"/>
      <c r="H89" s="22"/>
      <c r="I89" s="22"/>
      <c r="J89" s="22"/>
      <c r="K89" s="22"/>
    </row>
    <row r="90" customFormat="false" ht="15.75" hidden="false" customHeight="true" outlineLevel="0" collapsed="false">
      <c r="A90" s="19" t="s">
        <v>17</v>
      </c>
      <c r="B90" s="19" t="s">
        <v>571</v>
      </c>
      <c r="C90" s="29"/>
      <c r="D90" s="19" t="s">
        <v>572</v>
      </c>
      <c r="E90" s="39" t="n">
        <v>45835</v>
      </c>
      <c r="F90" s="29" t="s">
        <v>213</v>
      </c>
      <c r="G90" s="39"/>
      <c r="H90" s="29"/>
      <c r="I90" s="29"/>
      <c r="J90" s="33"/>
      <c r="K90" s="19"/>
    </row>
    <row r="91" customFormat="false" ht="15.75" hidden="false" customHeight="true" outlineLevel="0" collapsed="false">
      <c r="A91" s="22" t="s">
        <v>17</v>
      </c>
      <c r="B91" s="22" t="s">
        <v>123</v>
      </c>
      <c r="C91" s="22"/>
      <c r="D91" s="22" t="s">
        <v>573</v>
      </c>
      <c r="E91" s="31" t="n">
        <v>45835</v>
      </c>
      <c r="F91" s="22" t="s">
        <v>213</v>
      </c>
      <c r="G91" s="31"/>
      <c r="H91" s="22"/>
      <c r="I91" s="22"/>
      <c r="J91" s="22"/>
      <c r="K91" s="22"/>
    </row>
    <row r="92" customFormat="false" ht="15.75" hidden="false" customHeight="true" outlineLevel="0" collapsed="false">
      <c r="A92" s="19" t="s">
        <v>17</v>
      </c>
      <c r="B92" s="19" t="s">
        <v>574</v>
      </c>
      <c r="C92" s="29"/>
      <c r="D92" s="19" t="s">
        <v>575</v>
      </c>
      <c r="E92" s="39" t="n">
        <v>45835</v>
      </c>
      <c r="F92" s="29" t="s">
        <v>213</v>
      </c>
      <c r="G92" s="39"/>
      <c r="H92" s="29"/>
      <c r="I92" s="29"/>
      <c r="J92" s="33"/>
      <c r="K92" s="19"/>
    </row>
    <row r="93" customFormat="false" ht="15.75" hidden="false" customHeight="true" outlineLevel="0" collapsed="false">
      <c r="A93" s="22" t="s">
        <v>17</v>
      </c>
      <c r="B93" s="22" t="s">
        <v>576</v>
      </c>
      <c r="C93" s="22"/>
      <c r="D93" s="22" t="s">
        <v>577</v>
      </c>
      <c r="E93" s="31" t="n">
        <v>45835</v>
      </c>
      <c r="F93" s="22" t="s">
        <v>213</v>
      </c>
      <c r="G93" s="31"/>
      <c r="H93" s="22"/>
      <c r="I93" s="22"/>
      <c r="J93" s="22"/>
      <c r="K93" s="22"/>
    </row>
    <row r="94" customFormat="false" ht="15.75" hidden="false" customHeight="true" outlineLevel="0" collapsed="false">
      <c r="A94" s="19" t="s">
        <v>17</v>
      </c>
      <c r="B94" s="19" t="s">
        <v>578</v>
      </c>
      <c r="C94" s="29"/>
      <c r="D94" s="19" t="s">
        <v>579</v>
      </c>
      <c r="E94" s="39" t="n">
        <v>45835</v>
      </c>
      <c r="F94" s="29" t="s">
        <v>213</v>
      </c>
      <c r="G94" s="39"/>
      <c r="H94" s="29"/>
      <c r="I94" s="29"/>
      <c r="J94" s="33"/>
      <c r="K94" s="19"/>
    </row>
    <row r="95" customFormat="false" ht="15.75" hidden="false" customHeight="true" outlineLevel="0" collapsed="false">
      <c r="A95" s="22" t="s">
        <v>17</v>
      </c>
      <c r="B95" s="22" t="s">
        <v>580</v>
      </c>
      <c r="C95" s="22"/>
      <c r="D95" s="22" t="s">
        <v>581</v>
      </c>
      <c r="E95" s="31" t="n">
        <v>45835</v>
      </c>
      <c r="F95" s="22" t="s">
        <v>213</v>
      </c>
      <c r="G95" s="31"/>
      <c r="H95" s="22"/>
      <c r="I95" s="22"/>
      <c r="J95" s="22"/>
      <c r="K95" s="22"/>
    </row>
    <row r="96" customFormat="false" ht="15.75" hidden="false" customHeight="true" outlineLevel="0" collapsed="false">
      <c r="A96" s="19" t="s">
        <v>17</v>
      </c>
      <c r="B96" s="19" t="s">
        <v>582</v>
      </c>
      <c r="C96" s="29"/>
      <c r="D96" s="19" t="s">
        <v>583</v>
      </c>
      <c r="E96" s="39" t="n">
        <v>45835</v>
      </c>
      <c r="F96" s="29" t="s">
        <v>213</v>
      </c>
      <c r="G96" s="39"/>
      <c r="H96" s="29"/>
      <c r="I96" s="29"/>
      <c r="J96" s="33"/>
      <c r="K96" s="19"/>
    </row>
    <row r="97" customFormat="false" ht="34.5" hidden="false" customHeight="true" outlineLevel="0" collapsed="false">
      <c r="A97" s="22" t="s">
        <v>17</v>
      </c>
      <c r="B97" s="22" t="s">
        <v>584</v>
      </c>
      <c r="C97" s="22" t="s">
        <v>585</v>
      </c>
      <c r="D97" s="22" t="s">
        <v>586</v>
      </c>
      <c r="E97" s="31" t="n">
        <v>45825</v>
      </c>
      <c r="F97" s="22" t="s">
        <v>213</v>
      </c>
      <c r="G97" s="22" t="s">
        <v>587</v>
      </c>
      <c r="H97" s="22"/>
      <c r="I97" s="22"/>
      <c r="J97" s="22" t="s">
        <v>217</v>
      </c>
      <c r="K97" s="22"/>
      <c r="L97" s="46"/>
      <c r="M97" s="46"/>
      <c r="N97" s="46"/>
      <c r="O97" s="46"/>
      <c r="P97" s="46"/>
      <c r="Q97" s="46"/>
      <c r="R97" s="46"/>
      <c r="S97" s="46"/>
      <c r="T97" s="46"/>
      <c r="U97" s="46"/>
      <c r="V97" s="46"/>
      <c r="W97" s="46"/>
      <c r="X97" s="46"/>
      <c r="Y97" s="46"/>
      <c r="Z97" s="46"/>
    </row>
    <row r="98" customFormat="false" ht="15.75" hidden="false" customHeight="true" outlineLevel="0" collapsed="false">
      <c r="A98" s="19" t="s">
        <v>17</v>
      </c>
      <c r="B98" s="19" t="s">
        <v>588</v>
      </c>
      <c r="C98" s="29"/>
      <c r="D98" s="19" t="s">
        <v>373</v>
      </c>
      <c r="E98" s="39" t="n">
        <v>45835</v>
      </c>
      <c r="F98" s="29" t="s">
        <v>337</v>
      </c>
      <c r="G98" s="39"/>
      <c r="H98" s="29"/>
      <c r="I98" s="29"/>
      <c r="J98" s="33"/>
      <c r="K98" s="19"/>
    </row>
    <row r="99" customFormat="false" ht="15.75" hidden="false" customHeight="true" outlineLevel="0" collapsed="false">
      <c r="A99" s="22" t="s">
        <v>17</v>
      </c>
      <c r="B99" s="22" t="s">
        <v>589</v>
      </c>
      <c r="C99" s="22"/>
      <c r="D99" s="22" t="s">
        <v>590</v>
      </c>
      <c r="E99" s="31" t="n">
        <v>45835</v>
      </c>
      <c r="F99" s="22" t="s">
        <v>213</v>
      </c>
      <c r="G99" s="31"/>
      <c r="H99" s="22"/>
      <c r="I99" s="22"/>
      <c r="J99" s="22"/>
      <c r="K99" s="22"/>
    </row>
    <row r="100" customFormat="false" ht="23.25" hidden="false" customHeight="true" outlineLevel="0" collapsed="false">
      <c r="A100" s="19" t="s">
        <v>17</v>
      </c>
      <c r="B100" s="19" t="s">
        <v>591</v>
      </c>
      <c r="C100" s="29" t="s">
        <v>592</v>
      </c>
      <c r="D100" s="19" t="s">
        <v>593</v>
      </c>
      <c r="E100" s="39" t="n">
        <v>45838</v>
      </c>
      <c r="F100" s="29" t="s">
        <v>252</v>
      </c>
      <c r="G100" s="19" t="s">
        <v>594</v>
      </c>
      <c r="H100" s="29"/>
      <c r="I100" s="29"/>
      <c r="J100" s="33" t="s">
        <v>5</v>
      </c>
      <c r="K100" s="19"/>
    </row>
    <row r="101" customFormat="false" ht="23.25" hidden="false" customHeight="true" outlineLevel="0" collapsed="false">
      <c r="A101" s="22" t="s">
        <v>17</v>
      </c>
      <c r="B101" s="22" t="s">
        <v>595</v>
      </c>
      <c r="C101" s="22" t="s">
        <v>592</v>
      </c>
      <c r="D101" s="22" t="s">
        <v>596</v>
      </c>
      <c r="E101" s="31" t="n">
        <v>45838</v>
      </c>
      <c r="F101" s="22" t="s">
        <v>213</v>
      </c>
      <c r="G101" s="31"/>
      <c r="H101" s="22"/>
      <c r="I101" s="22"/>
      <c r="J101" s="22"/>
      <c r="K101" s="22"/>
    </row>
    <row r="102" customFormat="false" ht="15.75" hidden="false" customHeight="true" outlineLevel="0" collapsed="false">
      <c r="A102" s="19" t="s">
        <v>17</v>
      </c>
      <c r="B102" s="19" t="s">
        <v>597</v>
      </c>
      <c r="C102" s="29"/>
      <c r="D102" s="19" t="s">
        <v>598</v>
      </c>
      <c r="E102" s="39" t="n">
        <v>45838</v>
      </c>
      <c r="F102" s="29" t="s">
        <v>252</v>
      </c>
      <c r="G102" s="39"/>
      <c r="H102" s="29"/>
      <c r="I102" s="29"/>
      <c r="J102" s="33"/>
      <c r="K102" s="19"/>
    </row>
    <row r="103" customFormat="false" ht="15.75" hidden="false" customHeight="true" outlineLevel="0" collapsed="false">
      <c r="A103" s="22" t="s">
        <v>17</v>
      </c>
      <c r="B103" s="22" t="s">
        <v>599</v>
      </c>
      <c r="C103" s="22"/>
      <c r="D103" s="22" t="s">
        <v>600</v>
      </c>
      <c r="E103" s="31" t="n">
        <v>45838</v>
      </c>
      <c r="F103" s="22" t="s">
        <v>252</v>
      </c>
      <c r="G103" s="31"/>
      <c r="H103" s="22"/>
      <c r="I103" s="22"/>
      <c r="J103" s="22"/>
      <c r="K103" s="22"/>
    </row>
    <row r="104" customFormat="false" ht="15.75" hidden="false" customHeight="true" outlineLevel="0" collapsed="false">
      <c r="A104" s="19" t="s">
        <v>17</v>
      </c>
      <c r="B104" s="19" t="s">
        <v>601</v>
      </c>
      <c r="C104" s="29"/>
      <c r="D104" s="19" t="s">
        <v>598</v>
      </c>
      <c r="E104" s="39" t="n">
        <v>45838</v>
      </c>
      <c r="F104" s="29" t="s">
        <v>252</v>
      </c>
      <c r="G104" s="39"/>
      <c r="H104" s="29"/>
      <c r="I104" s="29"/>
      <c r="J104" s="33"/>
      <c r="K104" s="19"/>
    </row>
    <row r="105" customFormat="false" ht="23.25" hidden="false" customHeight="true" outlineLevel="0" collapsed="false">
      <c r="A105" s="22" t="s">
        <v>17</v>
      </c>
      <c r="B105" s="22" t="s">
        <v>602</v>
      </c>
      <c r="C105" s="22" t="s">
        <v>603</v>
      </c>
      <c r="D105" s="22" t="s">
        <v>604</v>
      </c>
      <c r="E105" s="31" t="n">
        <v>45838</v>
      </c>
      <c r="F105" s="22" t="s">
        <v>213</v>
      </c>
      <c r="G105" s="22" t="s">
        <v>605</v>
      </c>
      <c r="H105" s="22"/>
      <c r="I105" s="22"/>
      <c r="J105" s="22" t="s">
        <v>5</v>
      </c>
      <c r="K105" s="22"/>
      <c r="L105" s="46"/>
      <c r="M105" s="46"/>
      <c r="N105" s="46"/>
      <c r="O105" s="46"/>
      <c r="P105" s="46"/>
      <c r="Q105" s="46"/>
      <c r="R105" s="46"/>
      <c r="S105" s="46"/>
      <c r="T105" s="46"/>
      <c r="U105" s="46"/>
      <c r="V105" s="46"/>
      <c r="W105" s="46"/>
      <c r="X105" s="46"/>
      <c r="Y105" s="46"/>
      <c r="Z105" s="46"/>
    </row>
    <row r="106" customFormat="false" ht="34.5" hidden="false" customHeight="true" outlineLevel="0" collapsed="false">
      <c r="A106" s="19" t="s">
        <v>17</v>
      </c>
      <c r="B106" s="19" t="s">
        <v>606</v>
      </c>
      <c r="C106" s="29"/>
      <c r="D106" s="19" t="s">
        <v>607</v>
      </c>
      <c r="E106" s="39" t="n">
        <v>45845</v>
      </c>
      <c r="F106" s="29" t="s">
        <v>252</v>
      </c>
      <c r="G106" s="19" t="s">
        <v>608</v>
      </c>
      <c r="H106" s="29"/>
      <c r="I106" s="29"/>
      <c r="J106" s="33"/>
      <c r="K106" s="19"/>
    </row>
    <row r="107" customFormat="false" ht="23.25" hidden="false" customHeight="true" outlineLevel="0" collapsed="false">
      <c r="A107" s="22" t="s">
        <v>17</v>
      </c>
      <c r="B107" s="22" t="s">
        <v>609</v>
      </c>
      <c r="C107" s="22" t="s">
        <v>610</v>
      </c>
      <c r="D107" s="22" t="s">
        <v>611</v>
      </c>
      <c r="E107" s="31" t="n">
        <v>45845</v>
      </c>
      <c r="F107" s="22" t="s">
        <v>252</v>
      </c>
      <c r="G107" s="22" t="s">
        <v>612</v>
      </c>
      <c r="H107" s="22"/>
      <c r="I107" s="22"/>
      <c r="J107" s="22" t="s">
        <v>217</v>
      </c>
      <c r="K107" s="22"/>
      <c r="L107" s="46"/>
      <c r="M107" s="46"/>
      <c r="N107" s="46"/>
      <c r="O107" s="46"/>
      <c r="P107" s="46"/>
      <c r="Q107" s="46"/>
      <c r="R107" s="46"/>
      <c r="S107" s="46"/>
      <c r="T107" s="46"/>
      <c r="U107" s="46"/>
      <c r="V107" s="46"/>
      <c r="W107" s="46"/>
      <c r="X107" s="46"/>
      <c r="Y107" s="46"/>
      <c r="Z107" s="46"/>
    </row>
    <row r="108" customFormat="false" ht="45.75" hidden="false" customHeight="true" outlineLevel="0" collapsed="false">
      <c r="A108" s="19" t="s">
        <v>17</v>
      </c>
      <c r="B108" s="19" t="s">
        <v>613</v>
      </c>
      <c r="C108" s="19" t="s">
        <v>614</v>
      </c>
      <c r="D108" s="29" t="s">
        <v>615</v>
      </c>
      <c r="E108" s="32" t="n">
        <v>45869</v>
      </c>
      <c r="F108" s="29" t="s">
        <v>337</v>
      </c>
      <c r="G108" s="29"/>
      <c r="H108" s="29"/>
      <c r="I108" s="29"/>
      <c r="J108" s="33" t="s">
        <v>616</v>
      </c>
      <c r="K108" s="19"/>
    </row>
    <row r="109" customFormat="false" ht="23.25" hidden="false" customHeight="true" outlineLevel="0" collapsed="false">
      <c r="A109" s="22" t="s">
        <v>22</v>
      </c>
      <c r="B109" s="22" t="s">
        <v>617</v>
      </c>
      <c r="C109" s="22" t="s">
        <v>238</v>
      </c>
      <c r="D109" s="22" t="s">
        <v>618</v>
      </c>
      <c r="E109" s="31" t="n">
        <v>45813</v>
      </c>
      <c r="F109" s="22" t="s">
        <v>240</v>
      </c>
      <c r="G109" s="22" t="s">
        <v>619</v>
      </c>
      <c r="H109" s="22" t="s">
        <v>620</v>
      </c>
      <c r="I109" s="22" t="s">
        <v>621</v>
      </c>
      <c r="J109" s="22" t="s">
        <v>236</v>
      </c>
      <c r="K109" s="22"/>
    </row>
    <row r="110" customFormat="false" ht="23.25" hidden="false" customHeight="true" outlineLevel="0" collapsed="false">
      <c r="A110" s="19" t="s">
        <v>22</v>
      </c>
      <c r="B110" s="19" t="s">
        <v>622</v>
      </c>
      <c r="C110" s="19" t="s">
        <v>623</v>
      </c>
      <c r="D110" s="19" t="s">
        <v>624</v>
      </c>
      <c r="E110" s="19" t="s">
        <v>625</v>
      </c>
      <c r="F110" s="40"/>
      <c r="G110" s="19" t="s">
        <v>626</v>
      </c>
      <c r="H110" s="19"/>
      <c r="I110" s="19"/>
      <c r="J110" s="19" t="s">
        <v>5</v>
      </c>
      <c r="K110" s="19"/>
    </row>
    <row r="111" customFormat="false" ht="15.75" hidden="false" customHeight="true" outlineLevel="0" collapsed="false">
      <c r="A111" s="22" t="s">
        <v>22</v>
      </c>
      <c r="B111" s="22" t="s">
        <v>627</v>
      </c>
      <c r="C111" s="22"/>
      <c r="D111" s="22" t="s">
        <v>628</v>
      </c>
      <c r="E111" s="31" t="n">
        <v>45848</v>
      </c>
      <c r="F111" s="22" t="s">
        <v>213</v>
      </c>
      <c r="G111" s="31"/>
      <c r="H111" s="22"/>
      <c r="I111" s="22"/>
      <c r="J111" s="22"/>
      <c r="K111" s="22"/>
    </row>
    <row r="112" customFormat="false" ht="15.75" hidden="false" customHeight="true" outlineLevel="0" collapsed="false">
      <c r="A112" s="19" t="s">
        <v>22</v>
      </c>
      <c r="B112" s="19" t="s">
        <v>629</v>
      </c>
      <c r="C112" s="29"/>
      <c r="D112" s="19" t="s">
        <v>630</v>
      </c>
      <c r="E112" s="39" t="n">
        <v>45848</v>
      </c>
      <c r="F112" s="29" t="s">
        <v>213</v>
      </c>
      <c r="G112" s="39"/>
      <c r="H112" s="29"/>
      <c r="I112" s="29"/>
      <c r="J112" s="33"/>
      <c r="K112" s="19"/>
    </row>
    <row r="113" customFormat="false" ht="45.75" hidden="false" customHeight="true" outlineLevel="0" collapsed="false">
      <c r="A113" s="22" t="s">
        <v>16</v>
      </c>
      <c r="B113" s="22" t="s">
        <v>631</v>
      </c>
      <c r="C113" s="22" t="s">
        <v>632</v>
      </c>
      <c r="D113" s="41" t="s">
        <v>633</v>
      </c>
      <c r="E113" s="41" t="n">
        <v>45799</v>
      </c>
      <c r="F113" s="22" t="s">
        <v>252</v>
      </c>
      <c r="G113" s="41" t="s">
        <v>634</v>
      </c>
      <c r="H113" s="22" t="s">
        <v>635</v>
      </c>
      <c r="I113" s="22" t="s">
        <v>636</v>
      </c>
      <c r="J113" s="22" t="s">
        <v>236</v>
      </c>
      <c r="K113" s="22"/>
    </row>
    <row r="114" customFormat="false" ht="57" hidden="false" customHeight="true" outlineLevel="0" collapsed="false">
      <c r="A114" s="19" t="s">
        <v>16</v>
      </c>
      <c r="B114" s="19" t="s">
        <v>637</v>
      </c>
      <c r="C114" s="19" t="s">
        <v>638</v>
      </c>
      <c r="D114" s="40" t="s">
        <v>639</v>
      </c>
      <c r="E114" s="40" t="n">
        <v>45799</v>
      </c>
      <c r="F114" s="19" t="s">
        <v>252</v>
      </c>
      <c r="G114" s="40" t="s">
        <v>640</v>
      </c>
      <c r="H114" s="19" t="s">
        <v>641</v>
      </c>
      <c r="I114" s="19" t="s">
        <v>642</v>
      </c>
      <c r="J114" s="19" t="s">
        <v>236</v>
      </c>
      <c r="K114" s="19"/>
    </row>
    <row r="115" customFormat="false" ht="34.5" hidden="false" customHeight="true" outlineLevel="0" collapsed="false">
      <c r="A115" s="22" t="s">
        <v>16</v>
      </c>
      <c r="B115" s="22" t="s">
        <v>643</v>
      </c>
      <c r="C115" s="22" t="s">
        <v>644</v>
      </c>
      <c r="D115" s="41" t="s">
        <v>645</v>
      </c>
      <c r="E115" s="41" t="n">
        <v>45819</v>
      </c>
      <c r="F115" s="22" t="s">
        <v>413</v>
      </c>
      <c r="G115" s="22" t="s">
        <v>646</v>
      </c>
      <c r="H115" s="22" t="s">
        <v>647</v>
      </c>
      <c r="I115" s="22" t="s">
        <v>648</v>
      </c>
      <c r="J115" s="22" t="s">
        <v>236</v>
      </c>
      <c r="K115" s="22"/>
    </row>
    <row r="116" customFormat="false" ht="34.5" hidden="false" customHeight="true" outlineLevel="0" collapsed="false">
      <c r="A116" s="19" t="s">
        <v>16</v>
      </c>
      <c r="B116" s="33" t="s">
        <v>649</v>
      </c>
      <c r="C116" s="33" t="s">
        <v>644</v>
      </c>
      <c r="D116" s="47" t="s">
        <v>645</v>
      </c>
      <c r="E116" s="47" t="n">
        <v>45819</v>
      </c>
      <c r="F116" s="33" t="s">
        <v>413</v>
      </c>
      <c r="G116" s="29" t="s">
        <v>646</v>
      </c>
      <c r="H116" s="33" t="s">
        <v>650</v>
      </c>
      <c r="I116" s="33" t="s">
        <v>651</v>
      </c>
      <c r="J116" s="33" t="s">
        <v>236</v>
      </c>
      <c r="K116" s="33"/>
    </row>
    <row r="117" customFormat="false" ht="57" hidden="false" customHeight="true" outlineLevel="0" collapsed="false">
      <c r="A117" s="22" t="s">
        <v>16</v>
      </c>
      <c r="B117" s="22" t="s">
        <v>652</v>
      </c>
      <c r="C117" s="22" t="s">
        <v>653</v>
      </c>
      <c r="D117" s="22" t="s">
        <v>654</v>
      </c>
      <c r="E117" s="22" t="s">
        <v>655</v>
      </c>
      <c r="F117" s="22" t="s">
        <v>213</v>
      </c>
      <c r="G117" s="22" t="s">
        <v>656</v>
      </c>
      <c r="H117" s="22" t="s">
        <v>657</v>
      </c>
      <c r="I117" s="22" t="s">
        <v>658</v>
      </c>
      <c r="J117" s="22" t="s">
        <v>236</v>
      </c>
      <c r="K117" s="22"/>
    </row>
    <row r="118" customFormat="false" ht="34.5" hidden="false" customHeight="true" outlineLevel="0" collapsed="false">
      <c r="A118" s="19" t="s">
        <v>16</v>
      </c>
      <c r="B118" s="33" t="s">
        <v>659</v>
      </c>
      <c r="C118" s="33" t="s">
        <v>660</v>
      </c>
      <c r="D118" s="33" t="s">
        <v>661</v>
      </c>
      <c r="E118" s="33"/>
      <c r="F118" s="33" t="s">
        <v>252</v>
      </c>
      <c r="G118" s="33" t="s">
        <v>662</v>
      </c>
      <c r="H118" s="33"/>
      <c r="I118" s="33"/>
      <c r="J118" s="33" t="s">
        <v>236</v>
      </c>
      <c r="K118" s="33"/>
    </row>
    <row r="119" customFormat="false" ht="15.75" hidden="false" customHeight="true" outlineLevel="0" collapsed="false">
      <c r="A119" s="22" t="s">
        <v>16</v>
      </c>
      <c r="B119" s="22" t="s">
        <v>663</v>
      </c>
      <c r="C119" s="22" t="s">
        <v>664</v>
      </c>
      <c r="D119" s="22"/>
      <c r="E119" s="22"/>
      <c r="F119" s="41"/>
      <c r="G119" s="22" t="s">
        <v>665</v>
      </c>
      <c r="H119" s="22"/>
      <c r="I119" s="22"/>
      <c r="J119" s="22"/>
      <c r="K119" s="22"/>
    </row>
    <row r="120" customFormat="false" ht="23.25" hidden="false" customHeight="true" outlineLevel="0" collapsed="false">
      <c r="A120" s="19" t="s">
        <v>16</v>
      </c>
      <c r="B120" s="33" t="s">
        <v>666</v>
      </c>
      <c r="C120" s="33" t="s">
        <v>660</v>
      </c>
      <c r="D120" s="29"/>
      <c r="E120" s="48" t="n">
        <v>45804</v>
      </c>
      <c r="F120" s="47"/>
      <c r="G120" s="19" t="s">
        <v>667</v>
      </c>
      <c r="H120" s="33"/>
      <c r="I120" s="33"/>
      <c r="J120" s="33" t="s">
        <v>236</v>
      </c>
      <c r="K120" s="33"/>
    </row>
    <row r="121" customFormat="false" ht="34.5" hidden="false" customHeight="true" outlineLevel="0" collapsed="false">
      <c r="A121" s="22" t="s">
        <v>16</v>
      </c>
      <c r="B121" s="22" t="s">
        <v>668</v>
      </c>
      <c r="C121" s="22" t="s">
        <v>660</v>
      </c>
      <c r="D121" s="22" t="s">
        <v>669</v>
      </c>
      <c r="E121" s="31" t="n">
        <v>45804</v>
      </c>
      <c r="F121" s="22" t="s">
        <v>213</v>
      </c>
      <c r="G121" s="22"/>
      <c r="H121" s="22"/>
      <c r="I121" s="22"/>
      <c r="J121" s="22" t="s">
        <v>236</v>
      </c>
      <c r="K121" s="22"/>
    </row>
    <row r="122" customFormat="false" ht="23.25" hidden="false" customHeight="true" outlineLevel="0" collapsed="false">
      <c r="A122" s="19" t="s">
        <v>16</v>
      </c>
      <c r="B122" s="33" t="s">
        <v>670</v>
      </c>
      <c r="C122" s="29" t="s">
        <v>660</v>
      </c>
      <c r="D122" s="33" t="s">
        <v>671</v>
      </c>
      <c r="E122" s="32" t="n">
        <v>45804</v>
      </c>
      <c r="F122" s="29" t="s">
        <v>213</v>
      </c>
      <c r="G122" s="33"/>
      <c r="H122" s="29"/>
      <c r="I122" s="29"/>
      <c r="J122" s="33" t="s">
        <v>236</v>
      </c>
      <c r="K122" s="33"/>
    </row>
    <row r="123" customFormat="false" ht="23.25" hidden="false" customHeight="true" outlineLevel="0" collapsed="false">
      <c r="A123" s="22" t="s">
        <v>16</v>
      </c>
      <c r="B123" s="22" t="s">
        <v>672</v>
      </c>
      <c r="C123" s="22" t="s">
        <v>660</v>
      </c>
      <c r="D123" s="22" t="s">
        <v>673</v>
      </c>
      <c r="E123" s="31" t="n">
        <v>45804</v>
      </c>
      <c r="F123" s="22" t="s">
        <v>213</v>
      </c>
      <c r="G123" s="22"/>
      <c r="H123" s="22"/>
      <c r="I123" s="22"/>
      <c r="J123" s="22" t="s">
        <v>236</v>
      </c>
      <c r="K123" s="22"/>
    </row>
    <row r="124" customFormat="false" ht="23.25" hidden="false" customHeight="true" outlineLevel="0" collapsed="false">
      <c r="A124" s="19" t="s">
        <v>16</v>
      </c>
      <c r="B124" s="33" t="s">
        <v>674</v>
      </c>
      <c r="C124" s="29" t="s">
        <v>660</v>
      </c>
      <c r="D124" s="33" t="s">
        <v>675</v>
      </c>
      <c r="E124" s="32" t="n">
        <v>45807</v>
      </c>
      <c r="F124" s="29" t="s">
        <v>213</v>
      </c>
      <c r="G124" s="33"/>
      <c r="H124" s="29"/>
      <c r="I124" s="29"/>
      <c r="J124" s="33" t="s">
        <v>236</v>
      </c>
      <c r="K124" s="33"/>
    </row>
    <row r="125" customFormat="false" ht="15.75" hidden="false" customHeight="true" outlineLevel="0" collapsed="false">
      <c r="A125" s="22" t="s">
        <v>16</v>
      </c>
      <c r="B125" s="22" t="s">
        <v>676</v>
      </c>
      <c r="C125" s="22" t="s">
        <v>677</v>
      </c>
      <c r="D125" s="22" t="s">
        <v>678</v>
      </c>
      <c r="E125" s="31" t="n">
        <v>45807</v>
      </c>
      <c r="F125" s="22" t="s">
        <v>213</v>
      </c>
      <c r="G125" s="22"/>
      <c r="H125" s="22"/>
      <c r="I125" s="22"/>
      <c r="J125" s="22" t="s">
        <v>236</v>
      </c>
      <c r="K125" s="22"/>
    </row>
    <row r="126" customFormat="false" ht="15.75" hidden="false" customHeight="true" outlineLevel="0" collapsed="false">
      <c r="A126" s="19" t="s">
        <v>16</v>
      </c>
      <c r="B126" s="33" t="s">
        <v>679</v>
      </c>
      <c r="C126" s="29" t="s">
        <v>677</v>
      </c>
      <c r="D126" s="33" t="s">
        <v>337</v>
      </c>
      <c r="E126" s="32" t="n">
        <v>45807</v>
      </c>
      <c r="F126" s="29" t="s">
        <v>213</v>
      </c>
      <c r="G126" s="33"/>
      <c r="H126" s="29"/>
      <c r="I126" s="29"/>
      <c r="J126" s="33" t="s">
        <v>236</v>
      </c>
      <c r="K126" s="33"/>
    </row>
    <row r="127" customFormat="false" ht="15.75" hidden="false" customHeight="true" outlineLevel="0" collapsed="false">
      <c r="A127" s="22" t="s">
        <v>16</v>
      </c>
      <c r="B127" s="22" t="s">
        <v>680</v>
      </c>
      <c r="C127" s="22" t="s">
        <v>660</v>
      </c>
      <c r="D127" s="22" t="s">
        <v>681</v>
      </c>
      <c r="E127" s="31" t="n">
        <v>45807</v>
      </c>
      <c r="F127" s="22" t="s">
        <v>213</v>
      </c>
      <c r="G127" s="22"/>
      <c r="H127" s="22"/>
      <c r="I127" s="22"/>
      <c r="J127" s="22" t="s">
        <v>236</v>
      </c>
      <c r="K127" s="22"/>
    </row>
    <row r="128" customFormat="false" ht="15.75" hidden="false" customHeight="true" outlineLevel="0" collapsed="false">
      <c r="A128" s="19" t="s">
        <v>16</v>
      </c>
      <c r="B128" s="33" t="s">
        <v>682</v>
      </c>
      <c r="C128" s="29" t="s">
        <v>660</v>
      </c>
      <c r="D128" s="33" t="s">
        <v>681</v>
      </c>
      <c r="E128" s="32" t="n">
        <v>45807</v>
      </c>
      <c r="F128" s="29" t="s">
        <v>213</v>
      </c>
      <c r="G128" s="33" t="s">
        <v>683</v>
      </c>
      <c r="H128" s="29"/>
      <c r="I128" s="29"/>
      <c r="J128" s="33" t="s">
        <v>236</v>
      </c>
      <c r="K128" s="33"/>
    </row>
    <row r="129" customFormat="false" ht="23.25" hidden="false" customHeight="true" outlineLevel="0" collapsed="false">
      <c r="A129" s="22" t="s">
        <v>16</v>
      </c>
      <c r="B129" s="22" t="s">
        <v>684</v>
      </c>
      <c r="C129" s="22" t="s">
        <v>685</v>
      </c>
      <c r="D129" s="22" t="s">
        <v>686</v>
      </c>
      <c r="E129" s="31" t="n">
        <v>45807</v>
      </c>
      <c r="F129" s="22" t="s">
        <v>337</v>
      </c>
      <c r="G129" s="22"/>
      <c r="H129" s="22"/>
      <c r="I129" s="22"/>
      <c r="J129" s="22" t="s">
        <v>236</v>
      </c>
      <c r="K129" s="22"/>
    </row>
    <row r="130" customFormat="false" ht="23.25" hidden="false" customHeight="true" outlineLevel="0" collapsed="false">
      <c r="A130" s="19" t="s">
        <v>16</v>
      </c>
      <c r="B130" s="33" t="s">
        <v>100</v>
      </c>
      <c r="C130" s="29" t="s">
        <v>687</v>
      </c>
      <c r="D130" s="33" t="s">
        <v>688</v>
      </c>
      <c r="E130" s="32" t="n">
        <v>45807</v>
      </c>
      <c r="F130" s="29" t="s">
        <v>337</v>
      </c>
      <c r="G130" s="29"/>
      <c r="H130" s="29" t="s">
        <v>689</v>
      </c>
      <c r="I130" s="29" t="s">
        <v>690</v>
      </c>
      <c r="J130" s="33" t="s">
        <v>236</v>
      </c>
      <c r="K130" s="33"/>
    </row>
    <row r="131" customFormat="false" ht="23.25" hidden="false" customHeight="true" outlineLevel="0" collapsed="false">
      <c r="A131" s="22" t="s">
        <v>16</v>
      </c>
      <c r="B131" s="22" t="s">
        <v>691</v>
      </c>
      <c r="C131" s="22" t="s">
        <v>692</v>
      </c>
      <c r="D131" s="22" t="s">
        <v>693</v>
      </c>
      <c r="E131" s="22" t="s">
        <v>694</v>
      </c>
      <c r="F131" s="22" t="s">
        <v>213</v>
      </c>
      <c r="G131" s="22" t="s">
        <v>695</v>
      </c>
      <c r="H131" s="22" t="s">
        <v>696</v>
      </c>
      <c r="I131" s="22" t="s">
        <v>697</v>
      </c>
      <c r="J131" s="22" t="s">
        <v>236</v>
      </c>
      <c r="K131" s="22"/>
    </row>
    <row r="132" customFormat="false" ht="23.25" hidden="false" customHeight="true" outlineLevel="0" collapsed="false">
      <c r="A132" s="19" t="s">
        <v>16</v>
      </c>
      <c r="B132" s="33" t="s">
        <v>698</v>
      </c>
      <c r="C132" s="29" t="s">
        <v>699</v>
      </c>
      <c r="D132" s="29" t="s">
        <v>700</v>
      </c>
      <c r="E132" s="32" t="n">
        <v>45809</v>
      </c>
      <c r="F132" s="42"/>
      <c r="G132" s="29" t="s">
        <v>701</v>
      </c>
      <c r="H132" s="29"/>
      <c r="I132" s="29"/>
      <c r="J132" s="33" t="s">
        <v>5</v>
      </c>
      <c r="K132" s="33"/>
    </row>
    <row r="133" customFormat="false" ht="45.75" hidden="false" customHeight="true" outlineLevel="0" collapsed="false">
      <c r="A133" s="22" t="s">
        <v>16</v>
      </c>
      <c r="B133" s="22" t="s">
        <v>702</v>
      </c>
      <c r="C133" s="22" t="s">
        <v>699</v>
      </c>
      <c r="D133" s="22" t="s">
        <v>703</v>
      </c>
      <c r="E133" s="31" t="n">
        <v>45809</v>
      </c>
      <c r="F133" s="22" t="s">
        <v>213</v>
      </c>
      <c r="G133" s="22" t="s">
        <v>704</v>
      </c>
      <c r="H133" s="22" t="s">
        <v>705</v>
      </c>
      <c r="I133" s="22" t="s">
        <v>706</v>
      </c>
      <c r="J133" s="22" t="s">
        <v>5</v>
      </c>
      <c r="K133" s="22"/>
    </row>
    <row r="134" customFormat="false" ht="34.5" hidden="false" customHeight="true" outlineLevel="0" collapsed="false">
      <c r="A134" s="19" t="s">
        <v>16</v>
      </c>
      <c r="B134" s="33" t="s">
        <v>707</v>
      </c>
      <c r="C134" s="29" t="s">
        <v>660</v>
      </c>
      <c r="D134" s="19" t="s">
        <v>708</v>
      </c>
      <c r="E134" s="32" t="n">
        <v>45809</v>
      </c>
      <c r="F134" s="29" t="s">
        <v>213</v>
      </c>
      <c r="G134" s="29" t="s">
        <v>709</v>
      </c>
      <c r="H134" s="29"/>
      <c r="I134" s="29"/>
      <c r="J134" s="33" t="s">
        <v>5</v>
      </c>
      <c r="K134" s="33"/>
    </row>
    <row r="135" customFormat="false" ht="34.5" hidden="false" customHeight="true" outlineLevel="0" collapsed="false">
      <c r="A135" s="22" t="s">
        <v>16</v>
      </c>
      <c r="B135" s="22" t="s">
        <v>710</v>
      </c>
      <c r="C135" s="22" t="s">
        <v>711</v>
      </c>
      <c r="D135" s="22" t="s">
        <v>712</v>
      </c>
      <c r="E135" s="22" t="s">
        <v>713</v>
      </c>
      <c r="F135" s="22" t="s">
        <v>213</v>
      </c>
      <c r="G135" s="22" t="s">
        <v>714</v>
      </c>
      <c r="H135" s="22"/>
      <c r="I135" s="22"/>
      <c r="J135" s="22" t="s">
        <v>236</v>
      </c>
      <c r="K135" s="22"/>
    </row>
    <row r="136" customFormat="false" ht="45.75" hidden="false" customHeight="true" outlineLevel="0" collapsed="false">
      <c r="A136" s="27" t="s">
        <v>16</v>
      </c>
      <c r="B136" s="27" t="s">
        <v>715</v>
      </c>
      <c r="C136" s="27" t="s">
        <v>716</v>
      </c>
      <c r="D136" s="27" t="s">
        <v>717</v>
      </c>
      <c r="E136" s="28" t="n">
        <v>45813</v>
      </c>
      <c r="F136" s="27" t="s">
        <v>213</v>
      </c>
      <c r="G136" s="27" t="s">
        <v>718</v>
      </c>
      <c r="H136" s="27"/>
      <c r="I136" s="27"/>
      <c r="J136" s="27" t="s">
        <v>217</v>
      </c>
      <c r="K136" s="27"/>
      <c r="L136" s="46"/>
      <c r="M136" s="46"/>
      <c r="N136" s="46"/>
      <c r="O136" s="46"/>
      <c r="P136" s="46"/>
      <c r="Q136" s="46"/>
      <c r="R136" s="46"/>
      <c r="S136" s="46"/>
      <c r="T136" s="46"/>
      <c r="U136" s="46"/>
      <c r="V136" s="46"/>
      <c r="W136" s="46"/>
      <c r="X136" s="46"/>
      <c r="Y136" s="46"/>
      <c r="Z136" s="46"/>
    </row>
    <row r="137" customFormat="false" ht="34.5" hidden="false" customHeight="true" outlineLevel="0" collapsed="false">
      <c r="A137" s="22" t="s">
        <v>16</v>
      </c>
      <c r="B137" s="22" t="s">
        <v>719</v>
      </c>
      <c r="C137" s="22" t="s">
        <v>711</v>
      </c>
      <c r="D137" s="22" t="s">
        <v>720</v>
      </c>
      <c r="E137" s="31" t="n">
        <v>45813</v>
      </c>
      <c r="F137" s="22" t="s">
        <v>213</v>
      </c>
      <c r="G137" s="22" t="s">
        <v>721</v>
      </c>
      <c r="H137" s="22"/>
      <c r="I137" s="22"/>
      <c r="J137" s="22"/>
      <c r="K137" s="22"/>
    </row>
    <row r="138" customFormat="false" ht="23.25" hidden="false" customHeight="true" outlineLevel="0" collapsed="false">
      <c r="A138" s="19" t="s">
        <v>16</v>
      </c>
      <c r="B138" s="33" t="s">
        <v>722</v>
      </c>
      <c r="C138" s="29" t="s">
        <v>711</v>
      </c>
      <c r="D138" s="33" t="s">
        <v>723</v>
      </c>
      <c r="E138" s="29" t="s">
        <v>724</v>
      </c>
      <c r="F138" s="29" t="s">
        <v>213</v>
      </c>
      <c r="G138" s="29"/>
      <c r="H138" s="29" t="s">
        <v>725</v>
      </c>
      <c r="I138" s="29" t="s">
        <v>726</v>
      </c>
      <c r="J138" s="33" t="s">
        <v>236</v>
      </c>
      <c r="K138" s="33"/>
    </row>
    <row r="139" customFormat="false" ht="23.25" hidden="false" customHeight="true" outlineLevel="0" collapsed="false">
      <c r="A139" s="22" t="s">
        <v>16</v>
      </c>
      <c r="B139" s="22" t="s">
        <v>727</v>
      </c>
      <c r="C139" s="22" t="s">
        <v>728</v>
      </c>
      <c r="D139" s="22" t="s">
        <v>729</v>
      </c>
      <c r="E139" s="31" t="n">
        <v>45813</v>
      </c>
      <c r="F139" s="22" t="s">
        <v>252</v>
      </c>
      <c r="G139" s="22" t="s">
        <v>730</v>
      </c>
      <c r="H139" s="22" t="s">
        <v>731</v>
      </c>
      <c r="I139" s="22" t="s">
        <v>732</v>
      </c>
      <c r="J139" s="22" t="s">
        <v>236</v>
      </c>
      <c r="K139" s="22"/>
    </row>
    <row r="140" customFormat="false" ht="15.75" hidden="false" customHeight="true" outlineLevel="0" collapsed="false">
      <c r="A140" s="19" t="s">
        <v>16</v>
      </c>
      <c r="B140" s="19" t="s">
        <v>733</v>
      </c>
      <c r="C140" s="19" t="s">
        <v>734</v>
      </c>
      <c r="D140" s="19" t="s">
        <v>336</v>
      </c>
      <c r="E140" s="39" t="n">
        <v>45813</v>
      </c>
      <c r="F140" s="19" t="s">
        <v>337</v>
      </c>
      <c r="G140" s="19"/>
      <c r="H140" s="19"/>
      <c r="I140" s="19"/>
      <c r="J140" s="19" t="s">
        <v>236</v>
      </c>
      <c r="K140" s="19"/>
    </row>
    <row r="141" customFormat="false" ht="23.25" hidden="false" customHeight="true" outlineLevel="0" collapsed="false">
      <c r="A141" s="22" t="s">
        <v>16</v>
      </c>
      <c r="B141" s="22" t="s">
        <v>735</v>
      </c>
      <c r="C141" s="22" t="s">
        <v>497</v>
      </c>
      <c r="D141" s="22" t="s">
        <v>736</v>
      </c>
      <c r="E141" s="31" t="n">
        <v>45819</v>
      </c>
      <c r="F141" s="22" t="s">
        <v>213</v>
      </c>
      <c r="G141" s="22"/>
      <c r="H141" s="22" t="s">
        <v>737</v>
      </c>
      <c r="I141" s="22" t="s">
        <v>738</v>
      </c>
      <c r="J141" s="22" t="s">
        <v>236</v>
      </c>
      <c r="K141" s="22"/>
    </row>
    <row r="142" customFormat="false" ht="23.25" hidden="false" customHeight="true" outlineLevel="0" collapsed="false">
      <c r="A142" s="19" t="s">
        <v>16</v>
      </c>
      <c r="B142" s="33" t="s">
        <v>739</v>
      </c>
      <c r="C142" s="29" t="s">
        <v>740</v>
      </c>
      <c r="D142" s="29" t="s">
        <v>741</v>
      </c>
      <c r="E142" s="32" t="n">
        <v>45821</v>
      </c>
      <c r="F142" s="29" t="s">
        <v>240</v>
      </c>
      <c r="G142" s="29"/>
      <c r="H142" s="29" t="s">
        <v>742</v>
      </c>
      <c r="I142" s="29" t="s">
        <v>743</v>
      </c>
      <c r="J142" s="33" t="s">
        <v>236</v>
      </c>
      <c r="K142" s="33"/>
    </row>
    <row r="143" customFormat="false" ht="23.25" hidden="false" customHeight="true" outlineLevel="0" collapsed="false">
      <c r="A143" s="22" t="s">
        <v>16</v>
      </c>
      <c r="B143" s="22" t="s">
        <v>744</v>
      </c>
      <c r="C143" s="22" t="s">
        <v>740</v>
      </c>
      <c r="D143" s="22" t="s">
        <v>745</v>
      </c>
      <c r="E143" s="31" t="n">
        <v>45821</v>
      </c>
      <c r="F143" s="22" t="s">
        <v>240</v>
      </c>
      <c r="G143" s="22"/>
      <c r="H143" s="22" t="s">
        <v>746</v>
      </c>
      <c r="I143" s="22" t="s">
        <v>747</v>
      </c>
      <c r="J143" s="22" t="s">
        <v>236</v>
      </c>
      <c r="K143" s="22"/>
    </row>
    <row r="144" customFormat="false" ht="23.25" hidden="false" customHeight="true" outlineLevel="0" collapsed="false">
      <c r="A144" s="19" t="s">
        <v>16</v>
      </c>
      <c r="B144" s="33" t="s">
        <v>748</v>
      </c>
      <c r="C144" s="29" t="s">
        <v>740</v>
      </c>
      <c r="D144" s="29" t="s">
        <v>741</v>
      </c>
      <c r="E144" s="32" t="n">
        <v>45821</v>
      </c>
      <c r="F144" s="29" t="s">
        <v>240</v>
      </c>
      <c r="G144" s="29"/>
      <c r="H144" s="29" t="s">
        <v>749</v>
      </c>
      <c r="I144" s="29" t="s">
        <v>750</v>
      </c>
      <c r="J144" s="33" t="s">
        <v>236</v>
      </c>
      <c r="K144" s="19"/>
    </row>
    <row r="145" customFormat="false" ht="23.25" hidden="false" customHeight="true" outlineLevel="0" collapsed="false">
      <c r="A145" s="22" t="s">
        <v>16</v>
      </c>
      <c r="B145" s="22" t="s">
        <v>751</v>
      </c>
      <c r="C145" s="22" t="s">
        <v>740</v>
      </c>
      <c r="D145" s="22" t="s">
        <v>752</v>
      </c>
      <c r="E145" s="31" t="n">
        <v>45821</v>
      </c>
      <c r="F145" s="22" t="s">
        <v>240</v>
      </c>
      <c r="G145" s="22"/>
      <c r="H145" s="22" t="s">
        <v>753</v>
      </c>
      <c r="I145" s="22" t="s">
        <v>754</v>
      </c>
      <c r="J145" s="22" t="s">
        <v>236</v>
      </c>
      <c r="K145" s="22"/>
    </row>
    <row r="146" customFormat="false" ht="23.25" hidden="false" customHeight="true" outlineLevel="0" collapsed="false">
      <c r="A146" s="19" t="s">
        <v>16</v>
      </c>
      <c r="B146" s="19" t="s">
        <v>755</v>
      </c>
      <c r="C146" s="29"/>
      <c r="D146" s="19" t="s">
        <v>756</v>
      </c>
      <c r="E146" s="29"/>
      <c r="F146" s="42"/>
      <c r="G146" s="29"/>
      <c r="H146" s="29"/>
      <c r="I146" s="29"/>
      <c r="J146" s="33"/>
      <c r="K146" s="19"/>
    </row>
    <row r="147" customFormat="false" ht="15.75" hidden="false" customHeight="true" outlineLevel="0" collapsed="false">
      <c r="A147" s="22" t="s">
        <v>16</v>
      </c>
      <c r="B147" s="22" t="s">
        <v>757</v>
      </c>
      <c r="C147" s="22"/>
      <c r="D147" s="22" t="s">
        <v>373</v>
      </c>
      <c r="E147" s="22"/>
      <c r="F147" s="41"/>
      <c r="G147" s="22"/>
      <c r="H147" s="22"/>
      <c r="I147" s="22"/>
      <c r="J147" s="22"/>
      <c r="K147" s="22"/>
    </row>
    <row r="148" customFormat="false" ht="45.75" hidden="false" customHeight="true" outlineLevel="0" collapsed="false">
      <c r="A148" s="19" t="s">
        <v>16</v>
      </c>
      <c r="B148" s="19" t="s">
        <v>758</v>
      </c>
      <c r="C148" s="29"/>
      <c r="D148" s="19" t="s">
        <v>759</v>
      </c>
      <c r="E148" s="32" t="n">
        <v>45821</v>
      </c>
      <c r="F148" s="29" t="s">
        <v>252</v>
      </c>
      <c r="G148" s="19" t="s">
        <v>760</v>
      </c>
      <c r="H148" s="29" t="s">
        <v>761</v>
      </c>
      <c r="I148" s="29" t="s">
        <v>762</v>
      </c>
      <c r="J148" s="33" t="s">
        <v>236</v>
      </c>
      <c r="K148" s="19"/>
    </row>
    <row r="149" customFormat="false" ht="23.25" hidden="false" customHeight="true" outlineLevel="0" collapsed="false">
      <c r="A149" s="22" t="s">
        <v>16</v>
      </c>
      <c r="B149" s="22" t="s">
        <v>763</v>
      </c>
      <c r="C149" s="22" t="s">
        <v>764</v>
      </c>
      <c r="D149" s="22" t="s">
        <v>765</v>
      </c>
      <c r="E149" s="31" t="n">
        <v>45821</v>
      </c>
      <c r="F149" s="22" t="s">
        <v>213</v>
      </c>
      <c r="G149" s="22" t="s">
        <v>766</v>
      </c>
      <c r="H149" s="22" t="s">
        <v>767</v>
      </c>
      <c r="I149" s="22" t="s">
        <v>768</v>
      </c>
      <c r="J149" s="22" t="s">
        <v>236</v>
      </c>
      <c r="K149" s="22"/>
    </row>
    <row r="150" customFormat="false" ht="15.75" hidden="false" customHeight="true" outlineLevel="0" collapsed="false">
      <c r="A150" s="19" t="s">
        <v>16</v>
      </c>
      <c r="B150" s="19" t="s">
        <v>769</v>
      </c>
      <c r="C150" s="29"/>
      <c r="D150" s="19" t="s">
        <v>770</v>
      </c>
      <c r="E150" s="29"/>
      <c r="F150" s="29" t="s">
        <v>252</v>
      </c>
      <c r="G150" s="29"/>
      <c r="H150" s="29"/>
      <c r="I150" s="29"/>
      <c r="J150" s="33" t="s">
        <v>236</v>
      </c>
      <c r="K150" s="19"/>
    </row>
    <row r="151" customFormat="false" ht="23.25" hidden="false" customHeight="true" outlineLevel="0" collapsed="false">
      <c r="A151" s="22" t="s">
        <v>16</v>
      </c>
      <c r="B151" s="22" t="s">
        <v>771</v>
      </c>
      <c r="C151" s="22" t="s">
        <v>772</v>
      </c>
      <c r="D151" s="22" t="s">
        <v>773</v>
      </c>
      <c r="E151" s="31" t="n">
        <v>45824</v>
      </c>
      <c r="F151" s="22" t="s">
        <v>337</v>
      </c>
      <c r="G151" s="22" t="s">
        <v>774</v>
      </c>
      <c r="H151" s="22" t="s">
        <v>775</v>
      </c>
      <c r="I151" s="22" t="s">
        <v>776</v>
      </c>
      <c r="J151" s="22" t="s">
        <v>236</v>
      </c>
      <c r="K151" s="22"/>
    </row>
    <row r="152" customFormat="false" ht="15.75" hidden="false" customHeight="true" outlineLevel="0" collapsed="false">
      <c r="A152" s="19" t="s">
        <v>16</v>
      </c>
      <c r="B152" s="19" t="s">
        <v>777</v>
      </c>
      <c r="C152" s="29" t="s">
        <v>772</v>
      </c>
      <c r="D152" s="19" t="s">
        <v>778</v>
      </c>
      <c r="E152" s="32" t="n">
        <v>45824</v>
      </c>
      <c r="F152" s="29" t="s">
        <v>252</v>
      </c>
      <c r="G152" s="29" t="s">
        <v>779</v>
      </c>
      <c r="H152" s="29" t="s">
        <v>780</v>
      </c>
      <c r="I152" s="29" t="s">
        <v>781</v>
      </c>
      <c r="J152" s="33" t="s">
        <v>236</v>
      </c>
      <c r="K152" s="19"/>
    </row>
    <row r="153" customFormat="false" ht="15.75" hidden="false" customHeight="true" outlineLevel="0" collapsed="false">
      <c r="A153" s="22" t="s">
        <v>16</v>
      </c>
      <c r="B153" s="22" t="s">
        <v>782</v>
      </c>
      <c r="C153" s="22" t="s">
        <v>772</v>
      </c>
      <c r="D153" s="22" t="s">
        <v>778</v>
      </c>
      <c r="E153" s="31" t="n">
        <v>45824</v>
      </c>
      <c r="F153" s="22" t="s">
        <v>252</v>
      </c>
      <c r="G153" s="22" t="s">
        <v>779</v>
      </c>
      <c r="H153" s="22" t="s">
        <v>783</v>
      </c>
      <c r="I153" s="22" t="s">
        <v>781</v>
      </c>
      <c r="J153" s="22" t="s">
        <v>236</v>
      </c>
      <c r="K153" s="22"/>
    </row>
    <row r="154" customFormat="false" ht="15.75" hidden="false" customHeight="true" outlineLevel="0" collapsed="false">
      <c r="A154" s="19" t="s">
        <v>16</v>
      </c>
      <c r="B154" s="19" t="s">
        <v>784</v>
      </c>
      <c r="C154" s="29" t="s">
        <v>772</v>
      </c>
      <c r="D154" s="19" t="s">
        <v>240</v>
      </c>
      <c r="E154" s="32" t="n">
        <v>45824</v>
      </c>
      <c r="F154" s="29" t="s">
        <v>240</v>
      </c>
      <c r="G154" s="29"/>
      <c r="H154" s="29" t="s">
        <v>785</v>
      </c>
      <c r="I154" s="29" t="s">
        <v>786</v>
      </c>
      <c r="J154" s="33" t="s">
        <v>236</v>
      </c>
      <c r="K154" s="19"/>
    </row>
    <row r="155" customFormat="false" ht="57" hidden="false" customHeight="true" outlineLevel="0" collapsed="false">
      <c r="A155" s="22" t="s">
        <v>16</v>
      </c>
      <c r="B155" s="22" t="s">
        <v>787</v>
      </c>
      <c r="C155" s="22" t="s">
        <v>788</v>
      </c>
      <c r="D155" s="22" t="s">
        <v>789</v>
      </c>
      <c r="E155" s="31" t="n">
        <v>45824</v>
      </c>
      <c r="F155" s="41"/>
      <c r="G155" s="22" t="s">
        <v>790</v>
      </c>
      <c r="H155" s="22"/>
      <c r="I155" s="22"/>
      <c r="J155" s="22"/>
      <c r="K155" s="22"/>
      <c r="L155" s="46"/>
      <c r="M155" s="46"/>
      <c r="N155" s="46"/>
      <c r="O155" s="46"/>
      <c r="P155" s="46"/>
      <c r="Q155" s="46"/>
      <c r="R155" s="46"/>
      <c r="S155" s="46"/>
      <c r="T155" s="46"/>
      <c r="U155" s="46"/>
      <c r="V155" s="46"/>
      <c r="W155" s="46"/>
      <c r="X155" s="46"/>
      <c r="Y155" s="46"/>
      <c r="Z155" s="46"/>
    </row>
    <row r="156" customFormat="false" ht="15.75" hidden="false" customHeight="true" outlineLevel="0" collapsed="false">
      <c r="A156" s="19" t="s">
        <v>16</v>
      </c>
      <c r="B156" s="19" t="s">
        <v>791</v>
      </c>
      <c r="C156" s="19" t="s">
        <v>792</v>
      </c>
      <c r="D156" s="19" t="s">
        <v>240</v>
      </c>
      <c r="E156" s="32" t="n">
        <v>45826</v>
      </c>
      <c r="F156" s="29" t="s">
        <v>240</v>
      </c>
      <c r="G156" s="29"/>
      <c r="H156" s="29"/>
      <c r="I156" s="29"/>
      <c r="J156" s="33" t="s">
        <v>236</v>
      </c>
      <c r="K156" s="19"/>
    </row>
    <row r="157" customFormat="false" ht="15.75" hidden="false" customHeight="true" outlineLevel="0" collapsed="false">
      <c r="A157" s="22" t="s">
        <v>16</v>
      </c>
      <c r="B157" s="22" t="s">
        <v>793</v>
      </c>
      <c r="C157" s="22" t="s">
        <v>794</v>
      </c>
      <c r="D157" s="22" t="s">
        <v>795</v>
      </c>
      <c r="E157" s="31" t="n">
        <v>45826</v>
      </c>
      <c r="F157" s="22" t="s">
        <v>252</v>
      </c>
      <c r="G157" s="22"/>
      <c r="H157" s="22"/>
      <c r="I157" s="22"/>
      <c r="J157" s="22" t="s">
        <v>236</v>
      </c>
      <c r="K157" s="22"/>
    </row>
    <row r="158" customFormat="false" ht="15.75" hidden="false" customHeight="true" outlineLevel="0" collapsed="false">
      <c r="A158" s="19" t="s">
        <v>16</v>
      </c>
      <c r="B158" s="19" t="s">
        <v>796</v>
      </c>
      <c r="C158" s="19" t="s">
        <v>797</v>
      </c>
      <c r="D158" s="19" t="s">
        <v>798</v>
      </c>
      <c r="E158" s="32" t="n">
        <v>45826</v>
      </c>
      <c r="F158" s="29" t="s">
        <v>252</v>
      </c>
      <c r="G158" s="29"/>
      <c r="H158" s="29"/>
      <c r="I158" s="29"/>
      <c r="J158" s="33" t="s">
        <v>236</v>
      </c>
      <c r="K158" s="19"/>
    </row>
    <row r="159" customFormat="false" ht="15.75" hidden="false" customHeight="true" outlineLevel="0" collapsed="false">
      <c r="A159" s="22" t="s">
        <v>16</v>
      </c>
      <c r="B159" s="22" t="n">
        <v>76</v>
      </c>
      <c r="C159" s="22" t="s">
        <v>799</v>
      </c>
      <c r="D159" s="22" t="s">
        <v>373</v>
      </c>
      <c r="E159" s="31" t="n">
        <v>45826</v>
      </c>
      <c r="F159" s="22" t="s">
        <v>337</v>
      </c>
      <c r="G159" s="22"/>
      <c r="H159" s="22"/>
      <c r="I159" s="22"/>
      <c r="J159" s="22" t="s">
        <v>236</v>
      </c>
      <c r="K159" s="22"/>
    </row>
    <row r="160" customFormat="false" ht="15.75" hidden="false" customHeight="true" outlineLevel="0" collapsed="false">
      <c r="A160" s="19" t="s">
        <v>16</v>
      </c>
      <c r="B160" s="19" t="s">
        <v>800</v>
      </c>
      <c r="C160" s="19" t="s">
        <v>792</v>
      </c>
      <c r="D160" s="19" t="s">
        <v>801</v>
      </c>
      <c r="E160" s="32" t="n">
        <v>45826</v>
      </c>
      <c r="F160" s="29" t="s">
        <v>240</v>
      </c>
      <c r="G160" s="29"/>
      <c r="H160" s="29"/>
      <c r="I160" s="29"/>
      <c r="J160" s="33" t="s">
        <v>236</v>
      </c>
      <c r="K160" s="19"/>
    </row>
    <row r="161" customFormat="false" ht="15.75" hidden="false" customHeight="true" outlineLevel="0" collapsed="false">
      <c r="A161" s="22" t="s">
        <v>16</v>
      </c>
      <c r="B161" s="22" t="s">
        <v>802</v>
      </c>
      <c r="C161" s="22" t="s">
        <v>803</v>
      </c>
      <c r="D161" s="22" t="s">
        <v>804</v>
      </c>
      <c r="E161" s="31" t="n">
        <v>45826</v>
      </c>
      <c r="F161" s="22" t="s">
        <v>213</v>
      </c>
      <c r="G161" s="22"/>
      <c r="H161" s="22"/>
      <c r="I161" s="22"/>
      <c r="J161" s="22" t="s">
        <v>236</v>
      </c>
      <c r="K161" s="22"/>
    </row>
    <row r="162" customFormat="false" ht="15.75" hidden="false" customHeight="true" outlineLevel="0" collapsed="false">
      <c r="A162" s="19" t="s">
        <v>16</v>
      </c>
      <c r="B162" s="19" t="s">
        <v>805</v>
      </c>
      <c r="C162" s="29"/>
      <c r="D162" s="19" t="s">
        <v>806</v>
      </c>
      <c r="E162" s="19" t="s">
        <v>807</v>
      </c>
      <c r="F162" s="29" t="s">
        <v>213</v>
      </c>
      <c r="G162" s="19"/>
      <c r="H162" s="29"/>
      <c r="I162" s="29"/>
      <c r="J162" s="33"/>
      <c r="K162" s="19"/>
    </row>
    <row r="163" customFormat="false" ht="23.25" hidden="false" customHeight="true" outlineLevel="0" collapsed="false">
      <c r="A163" s="22" t="s">
        <v>16</v>
      </c>
      <c r="B163" s="22" t="s">
        <v>808</v>
      </c>
      <c r="C163" s="22"/>
      <c r="D163" s="22" t="s">
        <v>809</v>
      </c>
      <c r="E163" s="31" t="n">
        <v>45862</v>
      </c>
      <c r="F163" s="41"/>
      <c r="G163" s="31"/>
      <c r="H163" s="22"/>
      <c r="I163" s="22"/>
      <c r="J163" s="22"/>
      <c r="K163" s="22"/>
    </row>
    <row r="164" customFormat="false" ht="15.75" hidden="false" customHeight="true" outlineLevel="0" collapsed="false">
      <c r="A164" s="19" t="s">
        <v>16</v>
      </c>
      <c r="B164" s="19"/>
      <c r="C164" s="19"/>
      <c r="D164" s="19"/>
      <c r="E164" s="19"/>
      <c r="F164" s="19"/>
      <c r="G164" s="19"/>
      <c r="H164" s="19"/>
      <c r="I164" s="19"/>
      <c r="J164" s="33"/>
      <c r="K164" s="19"/>
    </row>
    <row r="165" customFormat="false" ht="15.75" hidden="false" customHeight="true" outlineLevel="0" collapsed="false">
      <c r="A165" s="22" t="s">
        <v>14</v>
      </c>
      <c r="B165" s="22" t="s">
        <v>810</v>
      </c>
      <c r="C165" s="22" t="s">
        <v>244</v>
      </c>
      <c r="D165" s="22" t="s">
        <v>811</v>
      </c>
      <c r="E165" s="31" t="n">
        <v>45809</v>
      </c>
      <c r="F165" s="22" t="s">
        <v>337</v>
      </c>
      <c r="G165" s="22"/>
      <c r="H165" s="22"/>
      <c r="I165" s="22"/>
      <c r="J165" s="22" t="s">
        <v>236</v>
      </c>
      <c r="K165" s="22"/>
    </row>
    <row r="166" customFormat="false" ht="102" hidden="false" customHeight="true" outlineLevel="0" collapsed="false">
      <c r="A166" s="43" t="s">
        <v>14</v>
      </c>
      <c r="B166" s="43" t="s">
        <v>812</v>
      </c>
      <c r="C166" s="43" t="s">
        <v>813</v>
      </c>
      <c r="D166" s="43" t="s">
        <v>814</v>
      </c>
      <c r="E166" s="43"/>
      <c r="F166" s="43" t="s">
        <v>413</v>
      </c>
      <c r="G166" s="43" t="s">
        <v>815</v>
      </c>
      <c r="H166" s="43"/>
      <c r="I166" s="43" t="s">
        <v>816</v>
      </c>
      <c r="J166" s="43" t="s">
        <v>817</v>
      </c>
      <c r="K166" s="43" t="s">
        <v>458</v>
      </c>
      <c r="L166" s="49"/>
      <c r="M166" s="49"/>
      <c r="N166" s="49"/>
      <c r="O166" s="49"/>
      <c r="P166" s="49"/>
      <c r="Q166" s="49"/>
      <c r="R166" s="49"/>
      <c r="S166" s="49"/>
      <c r="T166" s="49"/>
      <c r="U166" s="49"/>
      <c r="V166" s="49"/>
      <c r="W166" s="49"/>
      <c r="X166" s="49"/>
      <c r="Y166" s="49"/>
      <c r="Z166" s="50"/>
    </row>
    <row r="167" customFormat="false" ht="23.25" hidden="false" customHeight="true" outlineLevel="0" collapsed="false">
      <c r="A167" s="22" t="s">
        <v>14</v>
      </c>
      <c r="B167" s="22" t="s">
        <v>818</v>
      </c>
      <c r="C167" s="22" t="s">
        <v>819</v>
      </c>
      <c r="D167" s="22" t="s">
        <v>820</v>
      </c>
      <c r="E167" s="31"/>
      <c r="F167" s="22" t="s">
        <v>240</v>
      </c>
      <c r="G167" s="22" t="s">
        <v>821</v>
      </c>
      <c r="H167" s="22"/>
      <c r="I167" s="22" t="s">
        <v>822</v>
      </c>
      <c r="J167" s="22" t="s">
        <v>817</v>
      </c>
      <c r="K167" s="22"/>
    </row>
    <row r="168" customFormat="false" ht="34.5" hidden="false" customHeight="true" outlineLevel="0" collapsed="false">
      <c r="A168" s="43" t="s">
        <v>14</v>
      </c>
      <c r="B168" s="43" t="s">
        <v>823</v>
      </c>
      <c r="C168" s="43" t="s">
        <v>824</v>
      </c>
      <c r="D168" s="43" t="s">
        <v>825</v>
      </c>
      <c r="E168" s="43"/>
      <c r="F168" s="43" t="s">
        <v>240</v>
      </c>
      <c r="G168" s="43"/>
      <c r="H168" s="43"/>
      <c r="I168" s="43" t="s">
        <v>826</v>
      </c>
      <c r="J168" s="43" t="s">
        <v>817</v>
      </c>
      <c r="K168" s="43" t="s">
        <v>458</v>
      </c>
      <c r="L168" s="49"/>
      <c r="M168" s="49"/>
      <c r="N168" s="49"/>
      <c r="O168" s="49"/>
      <c r="P168" s="49"/>
      <c r="Q168" s="49"/>
      <c r="R168" s="49"/>
      <c r="S168" s="49"/>
      <c r="T168" s="49"/>
      <c r="U168" s="49"/>
      <c r="V168" s="49"/>
      <c r="W168" s="49"/>
      <c r="X168" s="49"/>
      <c r="Y168" s="49"/>
      <c r="Z168" s="50"/>
    </row>
    <row r="169" customFormat="false" ht="23.25" hidden="false" customHeight="true" outlineLevel="0" collapsed="false">
      <c r="A169" s="22" t="s">
        <v>14</v>
      </c>
      <c r="B169" s="22" t="s">
        <v>827</v>
      </c>
      <c r="C169" s="22" t="s">
        <v>828</v>
      </c>
      <c r="D169" s="22"/>
      <c r="E169" s="22"/>
      <c r="F169" s="22" t="s">
        <v>240</v>
      </c>
      <c r="G169" s="22" t="s">
        <v>829</v>
      </c>
      <c r="H169" s="22"/>
      <c r="I169" s="22" t="s">
        <v>830</v>
      </c>
      <c r="J169" s="22" t="s">
        <v>817</v>
      </c>
      <c r="K169" s="22" t="s">
        <v>458</v>
      </c>
      <c r="L169" s="49"/>
      <c r="M169" s="49"/>
      <c r="N169" s="49"/>
      <c r="O169" s="49"/>
      <c r="P169" s="49"/>
      <c r="Q169" s="49"/>
      <c r="R169" s="49"/>
      <c r="S169" s="49"/>
      <c r="T169" s="49"/>
      <c r="U169" s="49"/>
      <c r="V169" s="49"/>
      <c r="W169" s="49"/>
      <c r="X169" s="49"/>
      <c r="Y169" s="49"/>
      <c r="Z169" s="50"/>
    </row>
    <row r="170" customFormat="false" ht="15.75" hidden="false" customHeight="true" outlineLevel="0" collapsed="false">
      <c r="A170" s="43" t="s">
        <v>14</v>
      </c>
      <c r="B170" s="43" t="s">
        <v>831</v>
      </c>
      <c r="C170" s="43"/>
      <c r="D170" s="43"/>
      <c r="E170" s="51"/>
      <c r="F170" s="43"/>
      <c r="G170" s="43"/>
      <c r="H170" s="43"/>
      <c r="I170" s="43"/>
      <c r="J170" s="43"/>
      <c r="K170" s="43"/>
      <c r="L170" s="50"/>
      <c r="M170" s="50"/>
      <c r="N170" s="50"/>
      <c r="O170" s="50"/>
      <c r="P170" s="50"/>
      <c r="Q170" s="50"/>
      <c r="R170" s="50"/>
      <c r="S170" s="50"/>
      <c r="T170" s="50"/>
      <c r="U170" s="50"/>
      <c r="V170" s="50"/>
      <c r="W170" s="50"/>
      <c r="X170" s="50"/>
      <c r="Y170" s="50"/>
      <c r="Z170" s="50"/>
    </row>
    <row r="171" customFormat="false" ht="15.75" hidden="false" customHeight="true" outlineLevel="0" collapsed="false">
      <c r="A171" s="22" t="s">
        <v>14</v>
      </c>
      <c r="B171" s="22" t="s">
        <v>832</v>
      </c>
      <c r="C171" s="22" t="s">
        <v>833</v>
      </c>
      <c r="D171" s="22"/>
      <c r="E171" s="31"/>
      <c r="F171" s="22"/>
      <c r="G171" s="22" t="s">
        <v>834</v>
      </c>
      <c r="H171" s="22"/>
      <c r="I171" s="22"/>
      <c r="J171" s="22"/>
      <c r="K171" s="22"/>
      <c r="L171" s="50"/>
      <c r="M171" s="50"/>
      <c r="N171" s="50"/>
      <c r="O171" s="50"/>
      <c r="P171" s="50"/>
      <c r="Q171" s="50"/>
      <c r="R171" s="50"/>
      <c r="S171" s="50"/>
      <c r="T171" s="50"/>
      <c r="U171" s="50"/>
      <c r="V171" s="50"/>
      <c r="W171" s="50"/>
      <c r="X171" s="50"/>
      <c r="Y171" s="50"/>
      <c r="Z171" s="50"/>
    </row>
    <row r="172" customFormat="false" ht="15.75" hidden="false" customHeight="true" outlineLevel="0" collapsed="false">
      <c r="A172" s="19" t="s">
        <v>14</v>
      </c>
      <c r="B172" s="29" t="s">
        <v>835</v>
      </c>
      <c r="C172" s="29"/>
      <c r="D172" s="29"/>
      <c r="E172" s="32"/>
      <c r="F172" s="29"/>
      <c r="G172" s="29"/>
      <c r="H172" s="33"/>
      <c r="I172" s="29"/>
      <c r="J172" s="29"/>
      <c r="K172" s="33"/>
    </row>
    <row r="173" customFormat="false" ht="15.75" hidden="false" customHeight="true" outlineLevel="0" collapsed="false">
      <c r="A173" s="22" t="s">
        <v>14</v>
      </c>
      <c r="B173" s="22" t="s">
        <v>810</v>
      </c>
      <c r="C173" s="22" t="s">
        <v>244</v>
      </c>
      <c r="D173" s="22" t="s">
        <v>811</v>
      </c>
      <c r="E173" s="31" t="n">
        <v>45809</v>
      </c>
      <c r="F173" s="22" t="s">
        <v>337</v>
      </c>
      <c r="G173" s="22"/>
      <c r="H173" s="22"/>
      <c r="I173" s="22"/>
      <c r="J173" s="22"/>
      <c r="K173" s="22" t="s">
        <v>236</v>
      </c>
    </row>
    <row r="174" customFormat="false" ht="23.25" hidden="false" customHeight="true" outlineLevel="0" collapsed="false">
      <c r="A174" s="19" t="s">
        <v>14</v>
      </c>
      <c r="B174" s="33" t="s">
        <v>836</v>
      </c>
      <c r="C174" s="29" t="s">
        <v>837</v>
      </c>
      <c r="D174" s="29" t="s">
        <v>838</v>
      </c>
      <c r="E174" s="32" t="n">
        <v>45818</v>
      </c>
      <c r="F174" s="29" t="s">
        <v>252</v>
      </c>
      <c r="G174" s="29"/>
      <c r="H174" s="33"/>
      <c r="I174" s="29" t="s">
        <v>839</v>
      </c>
      <c r="J174" s="29" t="s">
        <v>817</v>
      </c>
      <c r="K174" s="33" t="s">
        <v>236</v>
      </c>
    </row>
    <row r="175" customFormat="false" ht="34.5" hidden="false" customHeight="true" outlineLevel="0" collapsed="false">
      <c r="A175" s="22" t="s">
        <v>14</v>
      </c>
      <c r="B175" s="22" t="s">
        <v>840</v>
      </c>
      <c r="C175" s="22" t="s">
        <v>841</v>
      </c>
      <c r="D175" s="22" t="s">
        <v>842</v>
      </c>
      <c r="E175" s="31" t="n">
        <v>45824</v>
      </c>
      <c r="F175" s="22" t="s">
        <v>252</v>
      </c>
      <c r="G175" s="22" t="s">
        <v>843</v>
      </c>
      <c r="H175" s="22" t="s">
        <v>844</v>
      </c>
      <c r="I175" s="22" t="s">
        <v>845</v>
      </c>
      <c r="J175" s="22" t="s">
        <v>817</v>
      </c>
      <c r="K175" s="22" t="s">
        <v>236</v>
      </c>
    </row>
    <row r="176" customFormat="false" ht="34.5" hidden="false" customHeight="true" outlineLevel="0" collapsed="false">
      <c r="A176" s="27" t="s">
        <v>14</v>
      </c>
      <c r="B176" s="27" t="s">
        <v>846</v>
      </c>
      <c r="C176" s="27" t="s">
        <v>847</v>
      </c>
      <c r="D176" s="27" t="s">
        <v>848</v>
      </c>
      <c r="E176" s="28" t="n">
        <v>45824</v>
      </c>
      <c r="F176" s="27" t="s">
        <v>252</v>
      </c>
      <c r="G176" s="27" t="s">
        <v>849</v>
      </c>
      <c r="H176" s="27" t="s">
        <v>850</v>
      </c>
      <c r="I176" s="27" t="s">
        <v>851</v>
      </c>
      <c r="J176" s="27" t="s">
        <v>817</v>
      </c>
      <c r="K176" s="27" t="s">
        <v>217</v>
      </c>
      <c r="L176" s="46"/>
      <c r="M176" s="46"/>
      <c r="N176" s="46"/>
      <c r="O176" s="46"/>
      <c r="P176" s="46"/>
      <c r="Q176" s="46"/>
      <c r="R176" s="46"/>
      <c r="S176" s="46"/>
      <c r="T176" s="46"/>
      <c r="U176" s="46"/>
      <c r="V176" s="46"/>
      <c r="W176" s="46"/>
      <c r="X176" s="46"/>
      <c r="Y176" s="46"/>
      <c r="Z176" s="46"/>
    </row>
    <row r="177" customFormat="false" ht="34.5" hidden="false" customHeight="true" outlineLevel="0" collapsed="false">
      <c r="A177" s="22" t="s">
        <v>14</v>
      </c>
      <c r="B177" s="22" t="s">
        <v>852</v>
      </c>
      <c r="C177" s="22" t="s">
        <v>853</v>
      </c>
      <c r="D177" s="22" t="s">
        <v>854</v>
      </c>
      <c r="E177" s="31" t="n">
        <v>45827</v>
      </c>
      <c r="F177" s="22" t="s">
        <v>213</v>
      </c>
      <c r="G177" s="22"/>
      <c r="H177" s="22" t="s">
        <v>844</v>
      </c>
      <c r="I177" s="22" t="s">
        <v>855</v>
      </c>
      <c r="J177" s="22" t="s">
        <v>817</v>
      </c>
      <c r="K177" s="22"/>
    </row>
    <row r="178" customFormat="false" ht="34.5" hidden="false" customHeight="true" outlineLevel="0" collapsed="false">
      <c r="A178" s="19" t="s">
        <v>14</v>
      </c>
      <c r="B178" s="19" t="s">
        <v>856</v>
      </c>
      <c r="C178" s="29" t="s">
        <v>857</v>
      </c>
      <c r="D178" s="29" t="s">
        <v>858</v>
      </c>
      <c r="E178" s="39" t="n">
        <v>45827</v>
      </c>
      <c r="F178" s="29" t="s">
        <v>213</v>
      </c>
      <c r="G178" s="19" t="s">
        <v>859</v>
      </c>
      <c r="H178" s="19" t="s">
        <v>860</v>
      </c>
      <c r="I178" s="29"/>
      <c r="J178" s="29"/>
      <c r="K178" s="33"/>
    </row>
    <row r="179" customFormat="false" ht="15.75" hidden="false" customHeight="true" outlineLevel="0" collapsed="false">
      <c r="A179" s="22" t="s">
        <v>14</v>
      </c>
      <c r="B179" s="22" t="s">
        <v>861</v>
      </c>
      <c r="C179" s="22" t="s">
        <v>862</v>
      </c>
      <c r="D179" s="22" t="s">
        <v>863</v>
      </c>
      <c r="E179" s="31" t="n">
        <v>45827</v>
      </c>
      <c r="F179" s="22" t="s">
        <v>213</v>
      </c>
      <c r="G179" s="22" t="s">
        <v>864</v>
      </c>
      <c r="H179" s="22" t="s">
        <v>865</v>
      </c>
      <c r="I179" s="22"/>
      <c r="J179" s="22"/>
      <c r="K179" s="22"/>
    </row>
    <row r="180" customFormat="false" ht="34.5" hidden="false" customHeight="true" outlineLevel="0" collapsed="false">
      <c r="A180" s="19" t="s">
        <v>14</v>
      </c>
      <c r="B180" s="19" t="s">
        <v>866</v>
      </c>
      <c r="C180" s="29" t="s">
        <v>867</v>
      </c>
      <c r="D180" s="19" t="s">
        <v>868</v>
      </c>
      <c r="E180" s="19" t="s">
        <v>869</v>
      </c>
      <c r="F180" s="29" t="s">
        <v>337</v>
      </c>
      <c r="G180" s="19"/>
      <c r="H180" s="19"/>
      <c r="I180" s="29" t="s">
        <v>870</v>
      </c>
      <c r="J180" s="29" t="s">
        <v>817</v>
      </c>
      <c r="K180" s="33"/>
    </row>
    <row r="181" customFormat="false" ht="34.5" hidden="false" customHeight="true" outlineLevel="0" collapsed="false">
      <c r="A181" s="22" t="s">
        <v>14</v>
      </c>
      <c r="B181" s="22" t="s">
        <v>871</v>
      </c>
      <c r="C181" s="22" t="s">
        <v>872</v>
      </c>
      <c r="D181" s="22" t="s">
        <v>873</v>
      </c>
      <c r="E181" s="22" t="s">
        <v>869</v>
      </c>
      <c r="F181" s="22" t="s">
        <v>213</v>
      </c>
      <c r="G181" s="22"/>
      <c r="H181" s="22"/>
      <c r="I181" s="22"/>
      <c r="J181" s="22"/>
      <c r="K181" s="22"/>
    </row>
    <row r="182" customFormat="false" ht="23.25" hidden="false" customHeight="true" outlineLevel="0" collapsed="false">
      <c r="A182" s="19" t="s">
        <v>14</v>
      </c>
      <c r="B182" s="19" t="s">
        <v>874</v>
      </c>
      <c r="C182" s="19" t="s">
        <v>875</v>
      </c>
      <c r="D182" s="19" t="s">
        <v>876</v>
      </c>
      <c r="E182" s="39" t="n">
        <v>45832</v>
      </c>
      <c r="F182" s="19" t="s">
        <v>240</v>
      </c>
      <c r="G182" s="19" t="s">
        <v>877</v>
      </c>
      <c r="H182" s="19"/>
      <c r="I182" s="19"/>
      <c r="J182" s="19"/>
      <c r="K182" s="19"/>
    </row>
    <row r="183" customFormat="false" ht="23.25" hidden="false" customHeight="true" outlineLevel="0" collapsed="false">
      <c r="A183" s="22" t="s">
        <v>14</v>
      </c>
      <c r="B183" s="22" t="s">
        <v>878</v>
      </c>
      <c r="C183" s="22"/>
      <c r="D183" s="22" t="s">
        <v>879</v>
      </c>
      <c r="E183" s="31" t="n">
        <v>45832</v>
      </c>
      <c r="F183" s="22" t="s">
        <v>213</v>
      </c>
      <c r="G183" s="22" t="s">
        <v>880</v>
      </c>
      <c r="H183" s="22"/>
      <c r="I183" s="22"/>
      <c r="J183" s="22"/>
      <c r="K183" s="22" t="s">
        <v>217</v>
      </c>
      <c r="L183" s="46"/>
      <c r="M183" s="46"/>
      <c r="N183" s="46"/>
      <c r="O183" s="46"/>
      <c r="P183" s="46"/>
      <c r="Q183" s="46"/>
      <c r="R183" s="46"/>
      <c r="S183" s="46"/>
      <c r="T183" s="46"/>
      <c r="U183" s="46"/>
      <c r="V183" s="46"/>
      <c r="W183" s="46"/>
      <c r="X183" s="46"/>
      <c r="Y183" s="46"/>
      <c r="Z183" s="46"/>
    </row>
    <row r="184" customFormat="false" ht="15.75" hidden="false" customHeight="true" outlineLevel="0" collapsed="false">
      <c r="A184" s="19" t="s">
        <v>14</v>
      </c>
      <c r="B184" s="19" t="s">
        <v>881</v>
      </c>
      <c r="C184" s="29"/>
      <c r="D184" s="19" t="s">
        <v>882</v>
      </c>
      <c r="E184" s="39" t="n">
        <v>45835</v>
      </c>
      <c r="F184" s="29" t="s">
        <v>213</v>
      </c>
      <c r="G184" s="39"/>
      <c r="H184" s="19"/>
      <c r="I184" s="29"/>
      <c r="J184" s="29"/>
      <c r="K184" s="33"/>
    </row>
    <row r="185" customFormat="false" ht="15.75" hidden="false" customHeight="true" outlineLevel="0" collapsed="false">
      <c r="A185" s="22" t="s">
        <v>14</v>
      </c>
      <c r="B185" s="22" t="s">
        <v>883</v>
      </c>
      <c r="C185" s="22"/>
      <c r="D185" s="22" t="s">
        <v>882</v>
      </c>
      <c r="E185" s="31" t="n">
        <v>45835</v>
      </c>
      <c r="F185" s="22" t="s">
        <v>213</v>
      </c>
      <c r="G185" s="31"/>
      <c r="H185" s="22"/>
      <c r="I185" s="22"/>
      <c r="J185" s="22"/>
      <c r="K185" s="22"/>
    </row>
    <row r="186" customFormat="false" ht="15.75" hidden="false" customHeight="true" outlineLevel="0" collapsed="false">
      <c r="A186" s="19" t="s">
        <v>14</v>
      </c>
      <c r="B186" s="19" t="s">
        <v>884</v>
      </c>
      <c r="C186" s="29"/>
      <c r="D186" s="19" t="s">
        <v>885</v>
      </c>
      <c r="E186" s="39" t="n">
        <v>45835</v>
      </c>
      <c r="F186" s="29" t="s">
        <v>213</v>
      </c>
      <c r="G186" s="39"/>
      <c r="H186" s="19"/>
      <c r="I186" s="29"/>
      <c r="J186" s="29"/>
      <c r="K186" s="33"/>
    </row>
    <row r="187" customFormat="false" ht="15.75" hidden="false" customHeight="true" outlineLevel="0" collapsed="false">
      <c r="A187" s="22" t="s">
        <v>14</v>
      </c>
      <c r="B187" s="22" t="s">
        <v>886</v>
      </c>
      <c r="C187" s="22"/>
      <c r="D187" s="22" t="s">
        <v>887</v>
      </c>
      <c r="E187" s="31" t="n">
        <v>45835</v>
      </c>
      <c r="F187" s="22" t="s">
        <v>337</v>
      </c>
      <c r="G187" s="31"/>
      <c r="H187" s="22"/>
      <c r="I187" s="22"/>
      <c r="J187" s="22"/>
      <c r="K187" s="22"/>
    </row>
    <row r="188" customFormat="false" ht="15.75" hidden="false" customHeight="true" outlineLevel="0" collapsed="false">
      <c r="A188" s="19" t="s">
        <v>14</v>
      </c>
      <c r="B188" s="19" t="s">
        <v>888</v>
      </c>
      <c r="C188" s="29"/>
      <c r="D188" s="19" t="s">
        <v>889</v>
      </c>
      <c r="E188" s="39" t="n">
        <v>45835</v>
      </c>
      <c r="F188" s="29" t="s">
        <v>213</v>
      </c>
      <c r="G188" s="39"/>
      <c r="H188" s="19"/>
      <c r="I188" s="29"/>
      <c r="J188" s="29"/>
      <c r="K188" s="33"/>
    </row>
    <row r="189" customFormat="false" ht="34.5" hidden="false" customHeight="true" outlineLevel="0" collapsed="false">
      <c r="A189" s="22" t="s">
        <v>14</v>
      </c>
      <c r="B189" s="22" t="s">
        <v>890</v>
      </c>
      <c r="C189" s="22" t="s">
        <v>891</v>
      </c>
      <c r="D189" s="22" t="s">
        <v>892</v>
      </c>
      <c r="E189" s="31" t="n">
        <v>45835</v>
      </c>
      <c r="F189" s="22" t="s">
        <v>337</v>
      </c>
      <c r="G189" s="22" t="s">
        <v>893</v>
      </c>
      <c r="H189" s="22"/>
      <c r="I189" s="22"/>
      <c r="J189" s="22"/>
      <c r="K189" s="22"/>
      <c r="L189" s="46"/>
      <c r="M189" s="46"/>
      <c r="N189" s="46"/>
      <c r="O189" s="46"/>
      <c r="P189" s="46"/>
      <c r="Q189" s="46"/>
      <c r="R189" s="46"/>
      <c r="S189" s="46"/>
      <c r="T189" s="46"/>
      <c r="U189" s="46"/>
      <c r="V189" s="46"/>
      <c r="W189" s="46"/>
      <c r="X189" s="46"/>
      <c r="Y189" s="46"/>
      <c r="Z189" s="46"/>
    </row>
    <row r="190" customFormat="false" ht="15.75" hidden="false" customHeight="true" outlineLevel="0" collapsed="false">
      <c r="A190" s="19" t="s">
        <v>14</v>
      </c>
      <c r="B190" s="19" t="s">
        <v>894</v>
      </c>
      <c r="C190" s="29"/>
      <c r="D190" s="19" t="s">
        <v>887</v>
      </c>
      <c r="E190" s="39" t="n">
        <v>45835</v>
      </c>
      <c r="F190" s="29" t="s">
        <v>337</v>
      </c>
      <c r="G190" s="39" t="n">
        <v>45835</v>
      </c>
      <c r="H190" s="19"/>
      <c r="I190" s="29"/>
      <c r="J190" s="29"/>
      <c r="K190" s="33"/>
    </row>
    <row r="191" customFormat="false" ht="15.75" hidden="false" customHeight="true" outlineLevel="0" collapsed="false">
      <c r="A191" s="22" t="s">
        <v>14</v>
      </c>
      <c r="B191" s="22" t="s">
        <v>895</v>
      </c>
      <c r="C191" s="22"/>
      <c r="D191" s="22" t="s">
        <v>896</v>
      </c>
      <c r="E191" s="31" t="n">
        <v>45862</v>
      </c>
      <c r="F191" s="22" t="s">
        <v>213</v>
      </c>
      <c r="G191" s="31"/>
      <c r="H191" s="22"/>
      <c r="I191" s="22"/>
      <c r="J191" s="22"/>
      <c r="K191" s="22"/>
    </row>
    <row r="192" customFormat="false" ht="15.75" hidden="false" customHeight="true" outlineLevel="0" collapsed="false">
      <c r="A192" s="19" t="s">
        <v>14</v>
      </c>
      <c r="B192" s="19" t="s">
        <v>897</v>
      </c>
      <c r="C192" s="29"/>
      <c r="D192" s="19" t="s">
        <v>898</v>
      </c>
      <c r="E192" s="39" t="n">
        <v>45863</v>
      </c>
      <c r="F192" s="29" t="s">
        <v>252</v>
      </c>
      <c r="G192" s="39"/>
      <c r="H192" s="19"/>
      <c r="I192" s="29"/>
      <c r="J192" s="29"/>
      <c r="K192" s="33"/>
    </row>
    <row r="193" customFormat="false" ht="15.75" hidden="false" customHeight="true" outlineLevel="0" collapsed="false">
      <c r="A193" s="22" t="s">
        <v>14</v>
      </c>
      <c r="B193" s="22" t="s">
        <v>899</v>
      </c>
      <c r="C193" s="22"/>
      <c r="D193" s="22" t="s">
        <v>900</v>
      </c>
      <c r="E193" s="31" t="n">
        <v>45863</v>
      </c>
      <c r="F193" s="22" t="s">
        <v>252</v>
      </c>
      <c r="G193" s="31"/>
      <c r="H193" s="22"/>
      <c r="I193" s="22"/>
      <c r="J193" s="22"/>
      <c r="K193" s="22"/>
    </row>
    <row r="194" customFormat="false" ht="113.25" hidden="false" customHeight="true" outlineLevel="0" collapsed="false">
      <c r="A194" s="19" t="s">
        <v>14</v>
      </c>
      <c r="B194" s="19" t="s">
        <v>901</v>
      </c>
      <c r="C194" s="19" t="s">
        <v>902</v>
      </c>
      <c r="D194" s="19" t="s">
        <v>903</v>
      </c>
      <c r="E194" s="19" t="s">
        <v>904</v>
      </c>
      <c r="F194" s="29" t="s">
        <v>213</v>
      </c>
      <c r="G194" s="19" t="s">
        <v>905</v>
      </c>
      <c r="H194" s="19"/>
      <c r="I194" s="19"/>
      <c r="J194" s="19"/>
      <c r="K194" s="33"/>
    </row>
    <row r="195" customFormat="false" ht="45.75" hidden="false" customHeight="true" outlineLevel="0" collapsed="false">
      <c r="A195" s="22" t="s">
        <v>14</v>
      </c>
      <c r="B195" s="22" t="s">
        <v>906</v>
      </c>
      <c r="C195" s="22" t="s">
        <v>907</v>
      </c>
      <c r="D195" s="22" t="s">
        <v>908</v>
      </c>
      <c r="E195" s="22"/>
      <c r="F195" s="22"/>
      <c r="G195" s="22"/>
      <c r="H195" s="22"/>
      <c r="I195" s="22"/>
      <c r="J195" s="22"/>
      <c r="K195" s="22"/>
    </row>
    <row r="196" customFormat="false" ht="34.5" hidden="false" customHeight="true" outlineLevel="0" collapsed="false">
      <c r="A196" s="19" t="s">
        <v>14</v>
      </c>
      <c r="B196" s="19" t="s">
        <v>909</v>
      </c>
      <c r="C196" s="19" t="s">
        <v>910</v>
      </c>
      <c r="D196" s="19"/>
      <c r="E196" s="19"/>
      <c r="F196" s="19"/>
      <c r="G196" s="19"/>
      <c r="H196" s="19" t="s">
        <v>911</v>
      </c>
      <c r="I196" s="19" t="s">
        <v>912</v>
      </c>
      <c r="J196" s="19" t="s">
        <v>817</v>
      </c>
      <c r="K196" s="19"/>
      <c r="L196" s="30"/>
      <c r="M196" s="30"/>
      <c r="N196" s="30"/>
      <c r="O196" s="30"/>
      <c r="P196" s="30"/>
      <c r="Q196" s="30"/>
      <c r="R196" s="30"/>
      <c r="S196" s="30"/>
      <c r="T196" s="30"/>
      <c r="U196" s="30"/>
      <c r="V196" s="30"/>
      <c r="W196" s="30"/>
      <c r="X196" s="30"/>
      <c r="Y196" s="30"/>
    </row>
    <row r="197" customFormat="false" ht="34.5" hidden="false" customHeight="true" outlineLevel="0" collapsed="false">
      <c r="A197" s="22" t="s">
        <v>14</v>
      </c>
      <c r="B197" s="22" t="s">
        <v>913</v>
      </c>
      <c r="C197" s="22" t="s">
        <v>914</v>
      </c>
      <c r="D197" s="22" t="s">
        <v>915</v>
      </c>
      <c r="E197" s="22"/>
      <c r="F197" s="22"/>
      <c r="G197" s="22"/>
      <c r="H197" s="22" t="s">
        <v>916</v>
      </c>
      <c r="I197" s="22" t="s">
        <v>917</v>
      </c>
      <c r="J197" s="22" t="s">
        <v>817</v>
      </c>
      <c r="K197" s="22"/>
      <c r="L197" s="30"/>
      <c r="M197" s="30"/>
      <c r="N197" s="30"/>
      <c r="O197" s="30"/>
      <c r="P197" s="30"/>
      <c r="Q197" s="30"/>
      <c r="R197" s="30"/>
      <c r="S197" s="30"/>
      <c r="T197" s="30"/>
      <c r="U197" s="30"/>
      <c r="V197" s="30"/>
      <c r="W197" s="30"/>
      <c r="X197" s="30"/>
      <c r="Y197" s="30"/>
    </row>
    <row r="198" customFormat="false" ht="23.25" hidden="false" customHeight="true" outlineLevel="0" collapsed="false">
      <c r="A198" s="19" t="s">
        <v>14</v>
      </c>
      <c r="B198" s="19" t="s">
        <v>918</v>
      </c>
      <c r="C198" s="19" t="s">
        <v>919</v>
      </c>
      <c r="D198" s="19" t="s">
        <v>920</v>
      </c>
      <c r="E198" s="19"/>
      <c r="F198" s="19"/>
      <c r="G198" s="19"/>
      <c r="H198" s="19" t="s">
        <v>921</v>
      </c>
      <c r="I198" s="19" t="s">
        <v>922</v>
      </c>
      <c r="J198" s="19" t="s">
        <v>817</v>
      </c>
      <c r="K198" s="19"/>
      <c r="L198" s="52"/>
      <c r="M198" s="52"/>
      <c r="N198" s="52"/>
      <c r="O198" s="52"/>
      <c r="P198" s="52"/>
      <c r="Q198" s="52"/>
      <c r="R198" s="52"/>
      <c r="S198" s="52"/>
      <c r="T198" s="52"/>
      <c r="U198" s="52"/>
      <c r="V198" s="52"/>
      <c r="W198" s="52"/>
      <c r="X198" s="52"/>
      <c r="Y198" s="52"/>
    </row>
    <row r="199" customFormat="false" ht="57" hidden="false" customHeight="true" outlineLevel="0" collapsed="false">
      <c r="A199" s="22" t="s">
        <v>14</v>
      </c>
      <c r="B199" s="22" t="s">
        <v>923</v>
      </c>
      <c r="C199" s="22" t="s">
        <v>924</v>
      </c>
      <c r="D199" s="22" t="s">
        <v>925</v>
      </c>
      <c r="E199" s="22"/>
      <c r="F199" s="22"/>
      <c r="G199" s="22"/>
      <c r="H199" s="22" t="s">
        <v>921</v>
      </c>
      <c r="I199" s="22" t="s">
        <v>926</v>
      </c>
      <c r="J199" s="22" t="s">
        <v>817</v>
      </c>
      <c r="K199" s="22"/>
      <c r="L199" s="52"/>
      <c r="M199" s="52"/>
      <c r="N199" s="52"/>
      <c r="O199" s="52"/>
      <c r="P199" s="52"/>
      <c r="Q199" s="52"/>
      <c r="R199" s="52"/>
      <c r="S199" s="52"/>
      <c r="T199" s="52"/>
      <c r="U199" s="52"/>
      <c r="V199" s="52"/>
      <c r="W199" s="52"/>
      <c r="X199" s="52"/>
      <c r="Y199" s="52"/>
    </row>
    <row r="200" customFormat="false" ht="34.5" hidden="false" customHeight="true" outlineLevel="0" collapsed="false">
      <c r="A200" s="19" t="s">
        <v>14</v>
      </c>
      <c r="B200" s="19" t="s">
        <v>927</v>
      </c>
      <c r="C200" s="19" t="s">
        <v>928</v>
      </c>
      <c r="D200" s="19" t="s">
        <v>929</v>
      </c>
      <c r="E200" s="19"/>
      <c r="F200" s="19"/>
      <c r="G200" s="19"/>
      <c r="H200" s="19" t="s">
        <v>930</v>
      </c>
      <c r="I200" s="19" t="s">
        <v>931</v>
      </c>
      <c r="J200" s="19" t="s">
        <v>932</v>
      </c>
      <c r="K200" s="19"/>
      <c r="L200" s="52"/>
      <c r="M200" s="52"/>
      <c r="N200" s="52"/>
      <c r="O200" s="52"/>
      <c r="P200" s="52"/>
      <c r="Q200" s="52"/>
      <c r="R200" s="52"/>
      <c r="S200" s="52"/>
      <c r="T200" s="52"/>
      <c r="U200" s="52"/>
      <c r="V200" s="52"/>
      <c r="W200" s="52"/>
      <c r="X200" s="52"/>
      <c r="Y200" s="52"/>
    </row>
    <row r="201" customFormat="false" ht="79.5" hidden="false" customHeight="true" outlineLevel="0" collapsed="false">
      <c r="A201" s="22" t="s">
        <v>14</v>
      </c>
      <c r="B201" s="22" t="s">
        <v>933</v>
      </c>
      <c r="C201" s="22" t="s">
        <v>934</v>
      </c>
      <c r="D201" s="22" t="s">
        <v>935</v>
      </c>
      <c r="E201" s="22"/>
      <c r="F201" s="22"/>
      <c r="G201" s="22"/>
      <c r="H201" s="22" t="s">
        <v>936</v>
      </c>
      <c r="I201" s="22" t="s">
        <v>937</v>
      </c>
      <c r="J201" s="22" t="s">
        <v>817</v>
      </c>
      <c r="K201" s="22"/>
      <c r="L201" s="53"/>
      <c r="M201" s="53"/>
      <c r="N201" s="53"/>
      <c r="O201" s="53"/>
      <c r="P201" s="53"/>
      <c r="Q201" s="53"/>
      <c r="R201" s="53"/>
      <c r="S201" s="53"/>
      <c r="T201" s="53"/>
      <c r="U201" s="53"/>
      <c r="V201" s="53"/>
      <c r="W201" s="53"/>
      <c r="X201" s="53"/>
      <c r="Y201" s="53"/>
    </row>
    <row r="202" customFormat="false" ht="23.25" hidden="false" customHeight="true" outlineLevel="0" collapsed="false">
      <c r="A202" s="19" t="s">
        <v>14</v>
      </c>
      <c r="B202" s="19" t="s">
        <v>938</v>
      </c>
      <c r="C202" s="19" t="s">
        <v>939</v>
      </c>
      <c r="D202" s="19"/>
      <c r="E202" s="19"/>
      <c r="F202" s="19"/>
      <c r="G202" s="19"/>
      <c r="H202" s="19" t="s">
        <v>936</v>
      </c>
      <c r="I202" s="19" t="s">
        <v>940</v>
      </c>
      <c r="J202" s="19" t="s">
        <v>817</v>
      </c>
      <c r="K202" s="19"/>
      <c r="L202" s="52"/>
      <c r="M202" s="52"/>
      <c r="N202" s="52"/>
      <c r="O202" s="52"/>
      <c r="P202" s="52"/>
      <c r="Q202" s="52"/>
      <c r="R202" s="52"/>
      <c r="S202" s="52"/>
      <c r="T202" s="52"/>
      <c r="U202" s="52"/>
      <c r="V202" s="52"/>
      <c r="W202" s="52"/>
      <c r="X202" s="52"/>
      <c r="Y202" s="52"/>
    </row>
    <row r="203" customFormat="false" ht="23.25" hidden="false" customHeight="true" outlineLevel="0" collapsed="false">
      <c r="A203" s="22" t="s">
        <v>14</v>
      </c>
      <c r="B203" s="22" t="s">
        <v>941</v>
      </c>
      <c r="C203" s="22" t="s">
        <v>942</v>
      </c>
      <c r="D203" s="22" t="s">
        <v>943</v>
      </c>
      <c r="E203" s="22"/>
      <c r="F203" s="22"/>
      <c r="G203" s="22"/>
      <c r="H203" s="22" t="s">
        <v>930</v>
      </c>
      <c r="I203" s="22" t="s">
        <v>944</v>
      </c>
      <c r="J203" s="22" t="s">
        <v>817</v>
      </c>
      <c r="K203" s="22"/>
    </row>
    <row r="204" customFormat="false" ht="57" hidden="false" customHeight="true" outlineLevel="0" collapsed="false">
      <c r="A204" s="19" t="s">
        <v>14</v>
      </c>
      <c r="B204" s="19" t="s">
        <v>945</v>
      </c>
      <c r="C204" s="19" t="s">
        <v>946</v>
      </c>
      <c r="D204" s="19" t="s">
        <v>947</v>
      </c>
      <c r="E204" s="19"/>
      <c r="F204" s="19"/>
      <c r="G204" s="19"/>
      <c r="H204" s="19" t="s">
        <v>930</v>
      </c>
      <c r="I204" s="19" t="s">
        <v>948</v>
      </c>
      <c r="J204" s="19" t="s">
        <v>817</v>
      </c>
      <c r="K204" s="19"/>
      <c r="L204" s="52"/>
      <c r="M204" s="52"/>
      <c r="N204" s="52"/>
      <c r="O204" s="52"/>
      <c r="P204" s="52"/>
      <c r="Q204" s="52"/>
      <c r="R204" s="52"/>
      <c r="S204" s="52"/>
      <c r="T204" s="52"/>
      <c r="U204" s="52"/>
      <c r="V204" s="52"/>
      <c r="W204" s="52"/>
      <c r="X204" s="52"/>
      <c r="Y204" s="52"/>
    </row>
    <row r="205" customFormat="false" ht="90.75" hidden="false" customHeight="true" outlineLevel="0" collapsed="false">
      <c r="A205" s="22" t="s">
        <v>14</v>
      </c>
      <c r="B205" s="22" t="s">
        <v>949</v>
      </c>
      <c r="C205" s="22" t="s">
        <v>950</v>
      </c>
      <c r="D205" s="22"/>
      <c r="E205" s="22"/>
      <c r="F205" s="22"/>
      <c r="G205" s="22"/>
      <c r="H205" s="22"/>
      <c r="I205" s="22"/>
      <c r="J205" s="22"/>
      <c r="K205" s="22"/>
      <c r="L205" s="52"/>
      <c r="M205" s="52"/>
      <c r="N205" s="52"/>
      <c r="O205" s="52"/>
      <c r="P205" s="52"/>
      <c r="Q205" s="52"/>
      <c r="R205" s="52"/>
      <c r="S205" s="52"/>
      <c r="T205" s="52"/>
      <c r="U205" s="52"/>
      <c r="V205" s="52"/>
      <c r="W205" s="52"/>
      <c r="X205" s="52"/>
      <c r="Y205" s="52"/>
    </row>
    <row r="206" customFormat="false" ht="57" hidden="false" customHeight="true" outlineLevel="0" collapsed="false">
      <c r="A206" s="19" t="s">
        <v>14</v>
      </c>
      <c r="B206" s="19" t="s">
        <v>951</v>
      </c>
      <c r="C206" s="19" t="s">
        <v>952</v>
      </c>
      <c r="D206" s="19" t="s">
        <v>953</v>
      </c>
      <c r="E206" s="19"/>
      <c r="F206" s="19"/>
      <c r="G206" s="19"/>
      <c r="H206" s="19" t="s">
        <v>930</v>
      </c>
      <c r="I206" s="19" t="s">
        <v>954</v>
      </c>
      <c r="J206" s="19" t="s">
        <v>817</v>
      </c>
      <c r="K206" s="19"/>
      <c r="L206" s="52"/>
      <c r="M206" s="52"/>
      <c r="N206" s="52"/>
      <c r="O206" s="52"/>
      <c r="P206" s="52"/>
      <c r="Q206" s="52"/>
      <c r="R206" s="52"/>
      <c r="S206" s="52"/>
      <c r="T206" s="52"/>
      <c r="U206" s="52"/>
      <c r="V206" s="52"/>
      <c r="W206" s="52"/>
      <c r="X206" s="52"/>
      <c r="Y206" s="52"/>
    </row>
    <row r="207" customFormat="false" ht="45.75" hidden="false" customHeight="true" outlineLevel="0" collapsed="false">
      <c r="A207" s="22" t="s">
        <v>14</v>
      </c>
      <c r="B207" s="22" t="s">
        <v>955</v>
      </c>
      <c r="C207" s="22" t="s">
        <v>956</v>
      </c>
      <c r="D207" s="22" t="s">
        <v>957</v>
      </c>
      <c r="E207" s="22"/>
      <c r="F207" s="22"/>
      <c r="G207" s="22"/>
      <c r="H207" s="22" t="s">
        <v>936</v>
      </c>
      <c r="I207" s="22" t="s">
        <v>958</v>
      </c>
      <c r="J207" s="22" t="s">
        <v>817</v>
      </c>
      <c r="K207" s="22"/>
      <c r="L207" s="52"/>
      <c r="M207" s="52"/>
      <c r="N207" s="52"/>
      <c r="O207" s="52"/>
      <c r="P207" s="52"/>
      <c r="Q207" s="52"/>
      <c r="R207" s="52"/>
      <c r="S207" s="52"/>
      <c r="T207" s="52"/>
      <c r="U207" s="52"/>
      <c r="V207" s="52"/>
      <c r="W207" s="52"/>
      <c r="X207" s="52"/>
      <c r="Y207" s="52"/>
    </row>
    <row r="208" customFormat="false" ht="57" hidden="false" customHeight="true" outlineLevel="0" collapsed="false">
      <c r="A208" s="19" t="s">
        <v>14</v>
      </c>
      <c r="B208" s="19" t="s">
        <v>959</v>
      </c>
      <c r="C208" s="19" t="s">
        <v>960</v>
      </c>
      <c r="D208" s="19" t="s">
        <v>961</v>
      </c>
      <c r="E208" s="19"/>
      <c r="F208" s="19"/>
      <c r="G208" s="19"/>
      <c r="H208" s="19"/>
      <c r="I208" s="19" t="s">
        <v>962</v>
      </c>
      <c r="J208" s="19" t="s">
        <v>817</v>
      </c>
      <c r="K208" s="19"/>
      <c r="L208" s="52"/>
      <c r="M208" s="52"/>
      <c r="N208" s="52"/>
      <c r="O208" s="52"/>
      <c r="P208" s="52"/>
      <c r="Q208" s="52"/>
      <c r="R208" s="52"/>
      <c r="S208" s="52"/>
      <c r="T208" s="52"/>
      <c r="U208" s="52"/>
      <c r="V208" s="52"/>
      <c r="W208" s="52"/>
      <c r="X208" s="52"/>
      <c r="Y208" s="52"/>
    </row>
    <row r="209" customFormat="false" ht="68.25" hidden="false" customHeight="true" outlineLevel="0" collapsed="false">
      <c r="A209" s="22" t="s">
        <v>14</v>
      </c>
      <c r="B209" s="22" t="s">
        <v>963</v>
      </c>
      <c r="C209" s="22" t="s">
        <v>964</v>
      </c>
      <c r="D209" s="22"/>
      <c r="E209" s="22"/>
      <c r="F209" s="22"/>
      <c r="G209" s="22"/>
      <c r="H209" s="22"/>
      <c r="I209" s="22"/>
      <c r="J209" s="22"/>
      <c r="K209" s="22"/>
      <c r="L209" s="52"/>
      <c r="M209" s="52"/>
      <c r="N209" s="52"/>
      <c r="O209" s="52"/>
      <c r="P209" s="52"/>
      <c r="Q209" s="52"/>
      <c r="R209" s="52"/>
      <c r="S209" s="52"/>
      <c r="T209" s="52"/>
      <c r="U209" s="52"/>
      <c r="V209" s="52"/>
      <c r="W209" s="52"/>
      <c r="X209" s="52"/>
      <c r="Y209" s="52"/>
    </row>
    <row r="210" customFormat="false" ht="45.75" hidden="false" customHeight="true" outlineLevel="0" collapsed="false">
      <c r="A210" s="19" t="s">
        <v>14</v>
      </c>
      <c r="B210" s="19" t="s">
        <v>965</v>
      </c>
      <c r="C210" s="19" t="s">
        <v>966</v>
      </c>
      <c r="D210" s="19" t="s">
        <v>967</v>
      </c>
      <c r="E210" s="19"/>
      <c r="F210" s="19"/>
      <c r="G210" s="19"/>
      <c r="H210" s="19"/>
      <c r="I210" s="19" t="s">
        <v>968</v>
      </c>
      <c r="J210" s="19" t="s">
        <v>817</v>
      </c>
      <c r="K210" s="19"/>
      <c r="L210" s="52"/>
      <c r="M210" s="52"/>
      <c r="N210" s="52"/>
      <c r="O210" s="52"/>
      <c r="P210" s="52"/>
      <c r="Q210" s="52"/>
      <c r="R210" s="52"/>
      <c r="S210" s="52"/>
      <c r="T210" s="52"/>
      <c r="U210" s="52"/>
      <c r="V210" s="52"/>
      <c r="W210" s="52"/>
      <c r="X210" s="52"/>
      <c r="Y210" s="52"/>
    </row>
    <row r="211" customFormat="false" ht="45.75" hidden="false" customHeight="true" outlineLevel="0" collapsed="false">
      <c r="A211" s="22" t="s">
        <v>14</v>
      </c>
      <c r="B211" s="22" t="s">
        <v>969</v>
      </c>
      <c r="C211" s="22" t="s">
        <v>970</v>
      </c>
      <c r="D211" s="22" t="s">
        <v>971</v>
      </c>
      <c r="E211" s="22"/>
      <c r="F211" s="22"/>
      <c r="G211" s="22"/>
      <c r="H211" s="22"/>
      <c r="I211" s="22" t="s">
        <v>972</v>
      </c>
      <c r="J211" s="22" t="s">
        <v>817</v>
      </c>
      <c r="K211" s="22"/>
      <c r="L211" s="52"/>
      <c r="M211" s="52"/>
      <c r="N211" s="52"/>
      <c r="O211" s="52"/>
      <c r="P211" s="52"/>
      <c r="Q211" s="52"/>
      <c r="R211" s="52"/>
      <c r="S211" s="52"/>
      <c r="T211" s="52"/>
      <c r="U211" s="52"/>
      <c r="V211" s="52"/>
      <c r="W211" s="52"/>
      <c r="X211" s="52"/>
      <c r="Y211" s="52"/>
    </row>
    <row r="212" customFormat="false" ht="57" hidden="false" customHeight="true" outlineLevel="0" collapsed="false">
      <c r="A212" s="19" t="s">
        <v>14</v>
      </c>
      <c r="B212" s="19" t="s">
        <v>973</v>
      </c>
      <c r="C212" s="19" t="s">
        <v>974</v>
      </c>
      <c r="D212" s="19" t="s">
        <v>975</v>
      </c>
      <c r="E212" s="19"/>
      <c r="F212" s="19"/>
      <c r="G212" s="19"/>
      <c r="H212" s="19"/>
      <c r="I212" s="19" t="s">
        <v>976</v>
      </c>
      <c r="J212" s="19" t="s">
        <v>817</v>
      </c>
      <c r="K212" s="19"/>
      <c r="L212" s="52"/>
      <c r="M212" s="52"/>
      <c r="N212" s="52"/>
      <c r="O212" s="52"/>
      <c r="P212" s="52"/>
      <c r="Q212" s="52"/>
      <c r="R212" s="52"/>
      <c r="S212" s="52"/>
      <c r="T212" s="52"/>
      <c r="U212" s="52"/>
      <c r="V212" s="52"/>
      <c r="W212" s="52"/>
      <c r="X212" s="52"/>
      <c r="Y212" s="52"/>
    </row>
    <row r="213" customFormat="false" ht="45.75" hidden="false" customHeight="true" outlineLevel="0" collapsed="false">
      <c r="A213" s="22" t="s">
        <v>14</v>
      </c>
      <c r="B213" s="22" t="s">
        <v>977</v>
      </c>
      <c r="C213" s="22" t="s">
        <v>978</v>
      </c>
      <c r="D213" s="22" t="s">
        <v>979</v>
      </c>
      <c r="E213" s="22"/>
      <c r="F213" s="22"/>
      <c r="G213" s="22"/>
      <c r="H213" s="22"/>
      <c r="I213" s="22"/>
      <c r="J213" s="22"/>
      <c r="K213" s="22"/>
      <c r="L213" s="52"/>
      <c r="M213" s="52"/>
      <c r="N213" s="52"/>
      <c r="O213" s="52"/>
      <c r="P213" s="52"/>
      <c r="Q213" s="52"/>
      <c r="R213" s="52"/>
      <c r="S213" s="52"/>
      <c r="T213" s="52"/>
      <c r="U213" s="52"/>
      <c r="V213" s="52"/>
      <c r="W213" s="52"/>
      <c r="X213" s="52"/>
      <c r="Y213" s="52"/>
    </row>
    <row r="214" customFormat="false" ht="79.5" hidden="false" customHeight="true" outlineLevel="0" collapsed="false">
      <c r="A214" s="19" t="s">
        <v>14</v>
      </c>
      <c r="B214" s="19" t="s">
        <v>980</v>
      </c>
      <c r="C214" s="19" t="s">
        <v>981</v>
      </c>
      <c r="D214" s="19" t="s">
        <v>982</v>
      </c>
      <c r="E214" s="19"/>
      <c r="F214" s="19"/>
      <c r="G214" s="19"/>
      <c r="H214" s="19"/>
      <c r="I214" s="19" t="s">
        <v>983</v>
      </c>
      <c r="J214" s="19" t="s">
        <v>817</v>
      </c>
      <c r="K214" s="19"/>
      <c r="L214" s="52"/>
      <c r="M214" s="52"/>
      <c r="N214" s="52"/>
      <c r="O214" s="52"/>
      <c r="P214" s="52"/>
      <c r="Q214" s="52"/>
      <c r="R214" s="52"/>
      <c r="S214" s="52"/>
      <c r="T214" s="52"/>
      <c r="U214" s="52"/>
      <c r="V214" s="52"/>
      <c r="W214" s="52"/>
      <c r="X214" s="52"/>
      <c r="Y214" s="52"/>
    </row>
    <row r="215" customFormat="false" ht="191.25" hidden="false" customHeight="true" outlineLevel="0" collapsed="false">
      <c r="A215" s="22" t="s">
        <v>14</v>
      </c>
      <c r="B215" s="22" t="s">
        <v>984</v>
      </c>
      <c r="C215" s="22" t="s">
        <v>985</v>
      </c>
      <c r="D215" s="22" t="s">
        <v>986</v>
      </c>
      <c r="E215" s="22"/>
      <c r="F215" s="22"/>
      <c r="G215" s="22"/>
      <c r="H215" s="22"/>
      <c r="I215" s="22" t="s">
        <v>987</v>
      </c>
      <c r="J215" s="22" t="s">
        <v>817</v>
      </c>
      <c r="K215" s="22"/>
      <c r="L215" s="52"/>
      <c r="M215" s="52"/>
      <c r="N215" s="52"/>
      <c r="O215" s="52"/>
      <c r="P215" s="52"/>
      <c r="Q215" s="52"/>
      <c r="R215" s="52"/>
      <c r="S215" s="52"/>
      <c r="T215" s="52"/>
      <c r="U215" s="52"/>
      <c r="V215" s="52"/>
      <c r="W215" s="52"/>
      <c r="X215" s="52"/>
      <c r="Y215" s="52"/>
    </row>
    <row r="216" customFormat="false" ht="68.25" hidden="false" customHeight="true" outlineLevel="0" collapsed="false">
      <c r="A216" s="19" t="s">
        <v>14</v>
      </c>
      <c r="B216" s="19" t="s">
        <v>988</v>
      </c>
      <c r="C216" s="19" t="s">
        <v>989</v>
      </c>
      <c r="D216" s="19" t="s">
        <v>990</v>
      </c>
      <c r="E216" s="19"/>
      <c r="F216" s="19"/>
      <c r="G216" s="19"/>
      <c r="H216" s="19"/>
      <c r="I216" s="19" t="s">
        <v>991</v>
      </c>
      <c r="J216" s="19" t="s">
        <v>817</v>
      </c>
      <c r="K216" s="19"/>
      <c r="L216" s="52"/>
      <c r="M216" s="52"/>
      <c r="N216" s="52"/>
      <c r="O216" s="52"/>
      <c r="P216" s="52"/>
      <c r="Q216" s="52"/>
      <c r="R216" s="52"/>
      <c r="S216" s="52"/>
      <c r="T216" s="52"/>
      <c r="U216" s="52"/>
      <c r="V216" s="52"/>
      <c r="W216" s="52"/>
      <c r="X216" s="52"/>
      <c r="Y216" s="52"/>
    </row>
    <row r="217" customFormat="false" ht="68.25" hidden="false" customHeight="true" outlineLevel="0" collapsed="false">
      <c r="A217" s="22" t="s">
        <v>14</v>
      </c>
      <c r="B217" s="22" t="s">
        <v>992</v>
      </c>
      <c r="C217" s="22" t="s">
        <v>993</v>
      </c>
      <c r="D217" s="22" t="s">
        <v>994</v>
      </c>
      <c r="E217" s="22"/>
      <c r="F217" s="22"/>
      <c r="G217" s="22"/>
      <c r="H217" s="22"/>
      <c r="I217" s="22" t="s">
        <v>995</v>
      </c>
      <c r="J217" s="22" t="s">
        <v>817</v>
      </c>
      <c r="K217" s="22"/>
      <c r="L217" s="52"/>
      <c r="M217" s="52"/>
      <c r="N217" s="52"/>
      <c r="O217" s="52"/>
      <c r="P217" s="52"/>
      <c r="Q217" s="52"/>
      <c r="R217" s="52"/>
      <c r="S217" s="52"/>
      <c r="T217" s="52"/>
      <c r="U217" s="52"/>
      <c r="V217" s="52"/>
      <c r="W217" s="52"/>
      <c r="X217" s="52"/>
      <c r="Y217" s="52"/>
    </row>
    <row r="218" customFormat="false" ht="102" hidden="false" customHeight="true" outlineLevel="0" collapsed="false">
      <c r="A218" s="19" t="s">
        <v>14</v>
      </c>
      <c r="B218" s="19" t="s">
        <v>996</v>
      </c>
      <c r="C218" s="19" t="s">
        <v>997</v>
      </c>
      <c r="D218" s="19" t="s">
        <v>998</v>
      </c>
      <c r="E218" s="19"/>
      <c r="F218" s="19"/>
      <c r="G218" s="19"/>
      <c r="H218" s="19"/>
      <c r="I218" s="19" t="s">
        <v>999</v>
      </c>
      <c r="J218" s="19" t="s">
        <v>817</v>
      </c>
      <c r="K218" s="19"/>
      <c r="L218" s="52"/>
      <c r="M218" s="52"/>
      <c r="N218" s="52"/>
      <c r="O218" s="52"/>
      <c r="P218" s="52"/>
      <c r="Q218" s="52"/>
      <c r="R218" s="52"/>
      <c r="S218" s="52"/>
      <c r="T218" s="52"/>
      <c r="U218" s="52"/>
      <c r="V218" s="52"/>
      <c r="W218" s="52"/>
      <c r="X218" s="52"/>
      <c r="Y218" s="52"/>
    </row>
    <row r="219" customFormat="false" ht="79.5" hidden="false" customHeight="true" outlineLevel="0" collapsed="false">
      <c r="A219" s="22" t="s">
        <v>14</v>
      </c>
      <c r="B219" s="22" t="s">
        <v>1000</v>
      </c>
      <c r="C219" s="22" t="s">
        <v>1001</v>
      </c>
      <c r="D219" s="22" t="s">
        <v>1002</v>
      </c>
      <c r="E219" s="22"/>
      <c r="F219" s="22"/>
      <c r="G219" s="22"/>
      <c r="H219" s="22"/>
      <c r="I219" s="22" t="s">
        <v>1003</v>
      </c>
      <c r="J219" s="22" t="s">
        <v>817</v>
      </c>
      <c r="K219" s="22"/>
      <c r="L219" s="52"/>
      <c r="M219" s="52"/>
      <c r="N219" s="52"/>
      <c r="O219" s="52"/>
      <c r="P219" s="52"/>
      <c r="Q219" s="52"/>
      <c r="R219" s="52"/>
      <c r="S219" s="52"/>
      <c r="T219" s="52"/>
      <c r="U219" s="52"/>
      <c r="V219" s="52"/>
      <c r="W219" s="52"/>
      <c r="X219" s="52"/>
      <c r="Y219" s="52"/>
    </row>
    <row r="220" customFormat="false" ht="68.25" hidden="false" customHeight="true" outlineLevel="0" collapsed="false">
      <c r="A220" s="19" t="s">
        <v>14</v>
      </c>
      <c r="B220" s="19" t="s">
        <v>1004</v>
      </c>
      <c r="C220" s="19" t="s">
        <v>1005</v>
      </c>
      <c r="D220" s="19" t="s">
        <v>1006</v>
      </c>
      <c r="E220" s="19"/>
      <c r="F220" s="19"/>
      <c r="G220" s="19"/>
      <c r="H220" s="19"/>
      <c r="I220" s="19" t="s">
        <v>1007</v>
      </c>
      <c r="J220" s="19" t="s">
        <v>817</v>
      </c>
      <c r="K220" s="19"/>
      <c r="L220" s="52"/>
      <c r="M220" s="52"/>
      <c r="N220" s="52"/>
      <c r="O220" s="52"/>
      <c r="P220" s="52"/>
      <c r="Q220" s="52"/>
      <c r="R220" s="52"/>
      <c r="S220" s="52"/>
      <c r="T220" s="52"/>
      <c r="U220" s="52"/>
      <c r="V220" s="52"/>
      <c r="W220" s="52"/>
      <c r="X220" s="52"/>
      <c r="Y220" s="52"/>
    </row>
    <row r="221" customFormat="false" ht="34.5" hidden="false" customHeight="true" outlineLevel="0" collapsed="false">
      <c r="A221" s="22" t="s">
        <v>14</v>
      </c>
      <c r="B221" s="22" t="s">
        <v>927</v>
      </c>
      <c r="C221" s="22" t="s">
        <v>928</v>
      </c>
      <c r="D221" s="22" t="s">
        <v>929</v>
      </c>
      <c r="E221" s="22"/>
      <c r="F221" s="22"/>
      <c r="G221" s="22"/>
      <c r="H221" s="22"/>
      <c r="I221" s="22" t="s">
        <v>931</v>
      </c>
      <c r="J221" s="22" t="s">
        <v>932</v>
      </c>
      <c r="K221" s="22"/>
      <c r="L221" s="52"/>
      <c r="M221" s="52"/>
      <c r="N221" s="52"/>
      <c r="O221" s="52"/>
      <c r="P221" s="52"/>
      <c r="Q221" s="52"/>
      <c r="R221" s="52"/>
      <c r="S221" s="52"/>
      <c r="T221" s="52"/>
      <c r="U221" s="52"/>
      <c r="V221" s="52"/>
      <c r="W221" s="52"/>
      <c r="X221" s="52"/>
      <c r="Y221" s="52"/>
    </row>
    <row r="222" customFormat="false" ht="23.25" hidden="false" customHeight="true" outlineLevel="0" collapsed="false">
      <c r="A222" s="19" t="s">
        <v>14</v>
      </c>
      <c r="B222" s="19" t="s">
        <v>1008</v>
      </c>
      <c r="C222" s="19"/>
      <c r="D222" s="19"/>
      <c r="E222" s="19"/>
      <c r="F222" s="19"/>
      <c r="G222" s="19"/>
      <c r="H222" s="19"/>
      <c r="I222" s="19"/>
      <c r="J222" s="19"/>
      <c r="K222" s="19"/>
      <c r="L222" s="52"/>
      <c r="M222" s="52"/>
      <c r="N222" s="52"/>
      <c r="O222" s="52"/>
      <c r="P222" s="52"/>
      <c r="Q222" s="52"/>
      <c r="R222" s="52"/>
      <c r="S222" s="52"/>
      <c r="T222" s="52"/>
      <c r="U222" s="52"/>
      <c r="V222" s="52"/>
      <c r="W222" s="52"/>
      <c r="X222" s="52"/>
      <c r="Y222" s="52"/>
    </row>
    <row r="223" customFormat="false" ht="34.5" hidden="false" customHeight="true" outlineLevel="0" collapsed="false">
      <c r="A223" s="22" t="s">
        <v>14</v>
      </c>
      <c r="B223" s="22" t="s">
        <v>1009</v>
      </c>
      <c r="C223" s="22" t="s">
        <v>1010</v>
      </c>
      <c r="D223" s="22"/>
      <c r="E223" s="22"/>
      <c r="F223" s="22"/>
      <c r="G223" s="22"/>
      <c r="H223" s="22"/>
      <c r="I223" s="22" t="s">
        <v>1011</v>
      </c>
      <c r="J223" s="22" t="s">
        <v>817</v>
      </c>
      <c r="K223" s="22"/>
      <c r="L223" s="52"/>
      <c r="M223" s="52"/>
      <c r="N223" s="52"/>
      <c r="O223" s="52"/>
      <c r="P223" s="52"/>
      <c r="Q223" s="52"/>
      <c r="R223" s="52"/>
      <c r="S223" s="52"/>
      <c r="T223" s="52"/>
      <c r="U223" s="52"/>
      <c r="V223" s="52"/>
      <c r="W223" s="52"/>
      <c r="X223" s="52"/>
      <c r="Y223" s="52"/>
    </row>
    <row r="224" customFormat="false" ht="45.75" hidden="false" customHeight="true" outlineLevel="0" collapsed="false">
      <c r="A224" s="19" t="s">
        <v>14</v>
      </c>
      <c r="B224" s="19" t="s">
        <v>1012</v>
      </c>
      <c r="C224" s="19" t="s">
        <v>1013</v>
      </c>
      <c r="D224" s="19" t="s">
        <v>1014</v>
      </c>
      <c r="E224" s="19"/>
      <c r="F224" s="19"/>
      <c r="G224" s="19"/>
      <c r="H224" s="19"/>
      <c r="I224" s="19" t="s">
        <v>1015</v>
      </c>
      <c r="J224" s="19"/>
      <c r="K224" s="19"/>
      <c r="L224" s="52"/>
      <c r="M224" s="52"/>
      <c r="N224" s="52"/>
      <c r="O224" s="52"/>
      <c r="P224" s="52"/>
      <c r="Q224" s="52"/>
      <c r="R224" s="52"/>
      <c r="S224" s="52"/>
      <c r="T224" s="52"/>
      <c r="U224" s="52"/>
      <c r="V224" s="52"/>
      <c r="W224" s="52"/>
      <c r="X224" s="52"/>
      <c r="Y224" s="52"/>
    </row>
    <row r="225" customFormat="false" ht="102" hidden="false" customHeight="true" outlineLevel="0" collapsed="false">
      <c r="A225" s="22" t="s">
        <v>14</v>
      </c>
      <c r="B225" s="22" t="s">
        <v>1016</v>
      </c>
      <c r="C225" s="22" t="s">
        <v>1017</v>
      </c>
      <c r="D225" s="22" t="s">
        <v>1018</v>
      </c>
      <c r="E225" s="22"/>
      <c r="F225" s="22"/>
      <c r="G225" s="22"/>
      <c r="H225" s="22"/>
      <c r="I225" s="22" t="s">
        <v>1019</v>
      </c>
      <c r="J225" s="22" t="s">
        <v>817</v>
      </c>
      <c r="K225" s="22"/>
      <c r="L225" s="52"/>
      <c r="M225" s="52"/>
      <c r="N225" s="52"/>
      <c r="O225" s="52"/>
      <c r="P225" s="52"/>
      <c r="Q225" s="52"/>
      <c r="R225" s="52"/>
      <c r="S225" s="52"/>
      <c r="T225" s="52"/>
      <c r="U225" s="52"/>
      <c r="V225" s="52"/>
      <c r="W225" s="52"/>
      <c r="X225" s="52"/>
      <c r="Y225" s="52"/>
    </row>
    <row r="226" customFormat="false" ht="90.75" hidden="false" customHeight="true" outlineLevel="0" collapsed="false">
      <c r="A226" s="19" t="s">
        <v>14</v>
      </c>
      <c r="B226" s="19" t="s">
        <v>1020</v>
      </c>
      <c r="C226" s="19" t="s">
        <v>1021</v>
      </c>
      <c r="D226" s="19" t="s">
        <v>1022</v>
      </c>
      <c r="E226" s="19"/>
      <c r="F226" s="19"/>
      <c r="G226" s="19"/>
      <c r="H226" s="19"/>
      <c r="I226" s="19" t="s">
        <v>1023</v>
      </c>
      <c r="J226" s="19" t="s">
        <v>817</v>
      </c>
      <c r="K226" s="19"/>
      <c r="L226" s="52"/>
      <c r="M226" s="52"/>
      <c r="N226" s="52"/>
      <c r="O226" s="52"/>
      <c r="P226" s="52"/>
      <c r="Q226" s="52"/>
      <c r="R226" s="52"/>
      <c r="S226" s="52"/>
      <c r="T226" s="52"/>
      <c r="U226" s="52"/>
      <c r="V226" s="52"/>
      <c r="W226" s="52"/>
      <c r="X226" s="52"/>
      <c r="Y226" s="52"/>
    </row>
    <row r="227" customFormat="false" ht="23.25" hidden="false" customHeight="true" outlineLevel="0" collapsed="false">
      <c r="A227" s="22" t="s">
        <v>14</v>
      </c>
      <c r="B227" s="22" t="s">
        <v>1024</v>
      </c>
      <c r="C227" s="22" t="s">
        <v>1025</v>
      </c>
      <c r="D227" s="22" t="s">
        <v>1026</v>
      </c>
      <c r="E227" s="22"/>
      <c r="F227" s="22"/>
      <c r="G227" s="22"/>
      <c r="H227" s="22"/>
      <c r="I227" s="22" t="s">
        <v>1027</v>
      </c>
      <c r="J227" s="22" t="s">
        <v>817</v>
      </c>
      <c r="K227" s="22"/>
      <c r="L227" s="52"/>
      <c r="M227" s="52"/>
      <c r="N227" s="52"/>
      <c r="O227" s="52"/>
      <c r="P227" s="52"/>
      <c r="Q227" s="52"/>
      <c r="R227" s="52"/>
      <c r="S227" s="52"/>
      <c r="T227" s="52"/>
      <c r="U227" s="52"/>
      <c r="V227" s="52"/>
      <c r="W227" s="52"/>
      <c r="X227" s="52"/>
      <c r="Y227" s="52"/>
    </row>
    <row r="228" customFormat="false" ht="23.25" hidden="false" customHeight="true" outlineLevel="0" collapsed="false">
      <c r="A228" s="19" t="s">
        <v>14</v>
      </c>
      <c r="B228" s="19" t="s">
        <v>1028</v>
      </c>
      <c r="C228" s="19" t="s">
        <v>1029</v>
      </c>
      <c r="D228" s="19" t="s">
        <v>1030</v>
      </c>
      <c r="E228" s="19"/>
      <c r="F228" s="19"/>
      <c r="G228" s="19"/>
      <c r="H228" s="19"/>
      <c r="I228" s="19" t="s">
        <v>1031</v>
      </c>
      <c r="J228" s="19" t="s">
        <v>817</v>
      </c>
      <c r="K228" s="19"/>
      <c r="L228" s="52"/>
      <c r="M228" s="52"/>
      <c r="N228" s="52"/>
      <c r="O228" s="52"/>
      <c r="P228" s="52"/>
      <c r="Q228" s="52"/>
      <c r="R228" s="52"/>
      <c r="S228" s="52"/>
      <c r="T228" s="52"/>
      <c r="U228" s="52"/>
      <c r="V228" s="52"/>
      <c r="W228" s="52"/>
      <c r="X228" s="52"/>
      <c r="Y228" s="52"/>
    </row>
    <row r="229" customFormat="false" ht="34.5" hidden="false" customHeight="true" outlineLevel="0" collapsed="false">
      <c r="A229" s="22" t="s">
        <v>14</v>
      </c>
      <c r="B229" s="22" t="s">
        <v>1032</v>
      </c>
      <c r="C229" s="22" t="s">
        <v>1033</v>
      </c>
      <c r="D229" s="22" t="s">
        <v>1034</v>
      </c>
      <c r="E229" s="22"/>
      <c r="F229" s="22"/>
      <c r="G229" s="22"/>
      <c r="H229" s="22"/>
      <c r="I229" s="22" t="s">
        <v>1035</v>
      </c>
      <c r="J229" s="22" t="s">
        <v>817</v>
      </c>
      <c r="K229" s="22"/>
      <c r="L229" s="52"/>
      <c r="M229" s="52"/>
      <c r="N229" s="52"/>
      <c r="O229" s="52"/>
      <c r="P229" s="52"/>
      <c r="Q229" s="52"/>
      <c r="R229" s="52"/>
      <c r="S229" s="52"/>
      <c r="T229" s="52"/>
      <c r="U229" s="52"/>
      <c r="V229" s="52"/>
      <c r="W229" s="52"/>
      <c r="X229" s="52"/>
      <c r="Y229" s="52"/>
    </row>
    <row r="230" customFormat="false" ht="23.25" hidden="false" customHeight="true" outlineLevel="0" collapsed="false">
      <c r="A230" s="19" t="s">
        <v>14</v>
      </c>
      <c r="B230" s="19" t="s">
        <v>1036</v>
      </c>
      <c r="C230" s="19" t="s">
        <v>1037</v>
      </c>
      <c r="D230" s="19" t="s">
        <v>1038</v>
      </c>
      <c r="E230" s="19"/>
      <c r="F230" s="19"/>
      <c r="G230" s="19"/>
      <c r="H230" s="19"/>
      <c r="I230" s="19" t="s">
        <v>1039</v>
      </c>
      <c r="J230" s="19" t="s">
        <v>817</v>
      </c>
      <c r="K230" s="19"/>
      <c r="L230" s="52"/>
      <c r="M230" s="52"/>
      <c r="N230" s="52"/>
      <c r="O230" s="52"/>
      <c r="P230" s="52"/>
      <c r="Q230" s="52"/>
      <c r="R230" s="52"/>
      <c r="S230" s="52"/>
      <c r="T230" s="52"/>
      <c r="U230" s="52"/>
      <c r="V230" s="52"/>
      <c r="W230" s="52"/>
      <c r="X230" s="52"/>
      <c r="Y230" s="52"/>
    </row>
    <row r="231" customFormat="false" ht="23.25" hidden="false" customHeight="true" outlineLevel="0" collapsed="false">
      <c r="A231" s="22" t="s">
        <v>14</v>
      </c>
      <c r="B231" s="22" t="s">
        <v>1040</v>
      </c>
      <c r="C231" s="22"/>
      <c r="D231" s="22" t="s">
        <v>1041</v>
      </c>
      <c r="E231" s="22"/>
      <c r="F231" s="22"/>
      <c r="G231" s="22"/>
      <c r="H231" s="22"/>
      <c r="I231" s="22" t="s">
        <v>1042</v>
      </c>
      <c r="J231" s="22" t="s">
        <v>817</v>
      </c>
      <c r="K231" s="22"/>
      <c r="L231" s="52"/>
      <c r="M231" s="52"/>
      <c r="N231" s="52"/>
      <c r="O231" s="52"/>
      <c r="P231" s="52"/>
      <c r="Q231" s="52"/>
      <c r="R231" s="52"/>
      <c r="S231" s="52"/>
      <c r="T231" s="52"/>
      <c r="U231" s="52"/>
      <c r="V231" s="52"/>
      <c r="W231" s="52"/>
      <c r="X231" s="52"/>
      <c r="Y231" s="52"/>
    </row>
    <row r="232" customFormat="false" ht="57" hidden="false" customHeight="true" outlineLevel="0" collapsed="false">
      <c r="A232" s="19" t="s">
        <v>14</v>
      </c>
      <c r="B232" s="19" t="s">
        <v>1043</v>
      </c>
      <c r="C232" s="19" t="s">
        <v>1044</v>
      </c>
      <c r="D232" s="19" t="s">
        <v>1045</v>
      </c>
      <c r="E232" s="19"/>
      <c r="F232" s="19"/>
      <c r="G232" s="19"/>
      <c r="H232" s="19"/>
      <c r="I232" s="19" t="s">
        <v>1046</v>
      </c>
      <c r="J232" s="19"/>
      <c r="K232" s="19"/>
      <c r="L232" s="52"/>
      <c r="M232" s="52"/>
      <c r="N232" s="52"/>
      <c r="O232" s="52"/>
      <c r="P232" s="52"/>
      <c r="Q232" s="52"/>
      <c r="R232" s="52"/>
      <c r="S232" s="52"/>
      <c r="T232" s="52"/>
      <c r="U232" s="52"/>
      <c r="V232" s="52"/>
      <c r="W232" s="52"/>
      <c r="X232" s="52"/>
      <c r="Y232" s="52"/>
    </row>
    <row r="233" customFormat="false" ht="57" hidden="false" customHeight="true" outlineLevel="0" collapsed="false">
      <c r="A233" s="22" t="s">
        <v>14</v>
      </c>
      <c r="B233" s="22" t="s">
        <v>1047</v>
      </c>
      <c r="C233" s="22" t="s">
        <v>1048</v>
      </c>
      <c r="D233" s="22" t="s">
        <v>1049</v>
      </c>
      <c r="E233" s="22"/>
      <c r="F233" s="22"/>
      <c r="G233" s="22"/>
      <c r="H233" s="22"/>
      <c r="I233" s="22" t="s">
        <v>1050</v>
      </c>
      <c r="J233" s="22" t="s">
        <v>817</v>
      </c>
      <c r="K233" s="22"/>
      <c r="L233" s="52"/>
      <c r="M233" s="52"/>
      <c r="N233" s="52"/>
      <c r="O233" s="52"/>
      <c r="P233" s="52"/>
      <c r="Q233" s="52"/>
      <c r="R233" s="52"/>
      <c r="S233" s="52"/>
      <c r="T233" s="52"/>
      <c r="U233" s="52"/>
      <c r="V233" s="52"/>
      <c r="W233" s="52"/>
      <c r="X233" s="52"/>
      <c r="Y233" s="52"/>
    </row>
    <row r="234" customFormat="false" ht="79.5" hidden="false" customHeight="true" outlineLevel="0" collapsed="false">
      <c r="A234" s="19" t="s">
        <v>14</v>
      </c>
      <c r="B234" s="19" t="s">
        <v>1051</v>
      </c>
      <c r="C234" s="19" t="s">
        <v>1052</v>
      </c>
      <c r="D234" s="19" t="s">
        <v>1053</v>
      </c>
      <c r="E234" s="19"/>
      <c r="F234" s="19"/>
      <c r="G234" s="19"/>
      <c r="H234" s="19"/>
      <c r="I234" s="19" t="s">
        <v>1054</v>
      </c>
      <c r="J234" s="19" t="s">
        <v>817</v>
      </c>
      <c r="K234" s="19"/>
      <c r="L234" s="52"/>
      <c r="M234" s="52"/>
      <c r="N234" s="52"/>
      <c r="O234" s="52"/>
      <c r="P234" s="52"/>
      <c r="Q234" s="52"/>
      <c r="R234" s="52"/>
      <c r="S234" s="52"/>
      <c r="T234" s="52"/>
      <c r="U234" s="52"/>
      <c r="V234" s="52"/>
      <c r="W234" s="52"/>
      <c r="X234" s="52"/>
      <c r="Y234" s="52"/>
    </row>
    <row r="235" customFormat="false" ht="113.25" hidden="false" customHeight="true" outlineLevel="0" collapsed="false">
      <c r="A235" s="22" t="s">
        <v>14</v>
      </c>
      <c r="B235" s="22" t="s">
        <v>1055</v>
      </c>
      <c r="C235" s="22" t="s">
        <v>1056</v>
      </c>
      <c r="D235" s="22" t="s">
        <v>1057</v>
      </c>
      <c r="E235" s="22"/>
      <c r="F235" s="22"/>
      <c r="G235" s="22"/>
      <c r="H235" s="22"/>
      <c r="I235" s="22" t="s">
        <v>1058</v>
      </c>
      <c r="J235" s="22" t="s">
        <v>817</v>
      </c>
      <c r="K235" s="22"/>
      <c r="L235" s="52"/>
      <c r="M235" s="52"/>
      <c r="N235" s="52"/>
      <c r="O235" s="52"/>
      <c r="P235" s="52"/>
      <c r="Q235" s="52"/>
      <c r="R235" s="52"/>
      <c r="S235" s="52"/>
      <c r="T235" s="52"/>
      <c r="U235" s="52"/>
      <c r="V235" s="52"/>
      <c r="W235" s="52"/>
      <c r="X235" s="52"/>
      <c r="Y235" s="52"/>
    </row>
    <row r="236" customFormat="false" ht="15.75" hidden="false" customHeight="true" outlineLevel="0" collapsed="false">
      <c r="A236" s="19" t="s">
        <v>15</v>
      </c>
      <c r="B236" s="29" t="s">
        <v>1059</v>
      </c>
      <c r="C236" s="29" t="s">
        <v>1060</v>
      </c>
      <c r="D236" s="29" t="s">
        <v>373</v>
      </c>
      <c r="E236" s="32" t="n">
        <v>45820</v>
      </c>
      <c r="F236" s="29" t="s">
        <v>252</v>
      </c>
      <c r="G236" s="29"/>
      <c r="H236" s="29" t="s">
        <v>1061</v>
      </c>
      <c r="I236" s="29" t="s">
        <v>1062</v>
      </c>
      <c r="J236" s="33" t="s">
        <v>236</v>
      </c>
      <c r="K236" s="33"/>
    </row>
    <row r="237" customFormat="false" ht="34.5" hidden="false" customHeight="true" outlineLevel="0" collapsed="false">
      <c r="A237" s="22" t="s">
        <v>15</v>
      </c>
      <c r="B237" s="22" t="s">
        <v>1063</v>
      </c>
      <c r="C237" s="22" t="s">
        <v>1064</v>
      </c>
      <c r="D237" s="22" t="s">
        <v>1065</v>
      </c>
      <c r="E237" s="31" t="n">
        <v>45820</v>
      </c>
      <c r="F237" s="22" t="s">
        <v>240</v>
      </c>
      <c r="G237" s="22"/>
      <c r="H237" s="22" t="s">
        <v>1066</v>
      </c>
      <c r="I237" s="22" t="s">
        <v>1067</v>
      </c>
      <c r="J237" s="22" t="s">
        <v>5</v>
      </c>
      <c r="K237" s="22"/>
    </row>
    <row r="238" customFormat="false" ht="23.25" hidden="false" customHeight="true" outlineLevel="0" collapsed="false">
      <c r="A238" s="19" t="s">
        <v>15</v>
      </c>
      <c r="B238" s="29" t="s">
        <v>1068</v>
      </c>
      <c r="C238" s="29" t="s">
        <v>1069</v>
      </c>
      <c r="D238" s="29" t="s">
        <v>1070</v>
      </c>
      <c r="E238" s="32" t="n">
        <v>45820</v>
      </c>
      <c r="F238" s="29" t="s">
        <v>213</v>
      </c>
      <c r="G238" s="29" t="s">
        <v>1071</v>
      </c>
      <c r="H238" s="29"/>
      <c r="I238" s="29"/>
      <c r="J238" s="33" t="s">
        <v>5</v>
      </c>
      <c r="K238" s="33"/>
    </row>
    <row r="239" customFormat="false" ht="23.25" hidden="false" customHeight="true" outlineLevel="0" collapsed="false">
      <c r="A239" s="22" t="s">
        <v>15</v>
      </c>
      <c r="B239" s="22" t="s">
        <v>1072</v>
      </c>
      <c r="C239" s="22" t="s">
        <v>1073</v>
      </c>
      <c r="D239" s="22" t="s">
        <v>1074</v>
      </c>
      <c r="E239" s="31" t="n">
        <v>45820</v>
      </c>
      <c r="F239" s="22" t="s">
        <v>252</v>
      </c>
      <c r="G239" s="22"/>
      <c r="H239" s="22" t="s">
        <v>1075</v>
      </c>
      <c r="I239" s="22" t="s">
        <v>1076</v>
      </c>
      <c r="J239" s="22" t="s">
        <v>236</v>
      </c>
      <c r="K239" s="22"/>
    </row>
    <row r="240" customFormat="false" ht="90.75" hidden="false" customHeight="true" outlineLevel="0" collapsed="false">
      <c r="A240" s="19" t="s">
        <v>15</v>
      </c>
      <c r="B240" s="45" t="s">
        <v>1077</v>
      </c>
      <c r="C240" s="29" t="s">
        <v>1078</v>
      </c>
      <c r="D240" s="29" t="s">
        <v>1079</v>
      </c>
      <c r="E240" s="29" t="s">
        <v>1080</v>
      </c>
      <c r="F240" s="29" t="s">
        <v>252</v>
      </c>
      <c r="G240" s="29" t="s">
        <v>1081</v>
      </c>
      <c r="H240" s="29" t="s">
        <v>1082</v>
      </c>
      <c r="I240" s="29" t="s">
        <v>1083</v>
      </c>
      <c r="J240" s="33" t="s">
        <v>1084</v>
      </c>
      <c r="K240" s="33"/>
    </row>
    <row r="241" customFormat="false" ht="45.75" hidden="false" customHeight="true" outlineLevel="0" collapsed="false">
      <c r="A241" s="22" t="s">
        <v>15</v>
      </c>
      <c r="B241" s="22" t="s">
        <v>1085</v>
      </c>
      <c r="C241" s="22" t="s">
        <v>1086</v>
      </c>
      <c r="D241" s="22" t="s">
        <v>373</v>
      </c>
      <c r="E241" s="22" t="s">
        <v>869</v>
      </c>
      <c r="F241" s="22" t="s">
        <v>337</v>
      </c>
      <c r="G241" s="22"/>
      <c r="H241" s="22"/>
      <c r="I241" s="22"/>
      <c r="J241" s="22"/>
      <c r="K241" s="22"/>
    </row>
    <row r="242" customFormat="false" ht="34.5" hidden="false" customHeight="true" outlineLevel="0" collapsed="false">
      <c r="A242" s="19" t="s">
        <v>15</v>
      </c>
      <c r="B242" s="19" t="s">
        <v>1087</v>
      </c>
      <c r="C242" s="29" t="s">
        <v>1088</v>
      </c>
      <c r="D242" s="19" t="s">
        <v>1089</v>
      </c>
      <c r="E242" s="19" t="s">
        <v>1090</v>
      </c>
      <c r="F242" s="29" t="s">
        <v>213</v>
      </c>
      <c r="G242" s="19"/>
      <c r="H242" s="29"/>
      <c r="I242" s="29"/>
      <c r="J242" s="33"/>
      <c r="K242" s="19"/>
    </row>
    <row r="243" customFormat="false" ht="15.75" hidden="false" customHeight="true" outlineLevel="0" collapsed="false">
      <c r="A243" s="22" t="s">
        <v>15</v>
      </c>
      <c r="B243" s="22" t="s">
        <v>1091</v>
      </c>
      <c r="C243" s="22" t="s">
        <v>1092</v>
      </c>
      <c r="D243" s="22" t="s">
        <v>1093</v>
      </c>
      <c r="E243" s="22" t="s">
        <v>1094</v>
      </c>
      <c r="F243" s="22" t="s">
        <v>213</v>
      </c>
      <c r="G243" s="22"/>
      <c r="H243" s="22"/>
      <c r="I243" s="22"/>
      <c r="J243" s="22"/>
      <c r="K243" s="22"/>
    </row>
    <row r="244" customFormat="false" ht="15.75" hidden="false" customHeight="true" outlineLevel="0" collapsed="false">
      <c r="A244" s="19" t="s">
        <v>15</v>
      </c>
      <c r="B244" s="19" t="s">
        <v>1095</v>
      </c>
      <c r="C244" s="29" t="s">
        <v>1096</v>
      </c>
      <c r="D244" s="19" t="s">
        <v>1097</v>
      </c>
      <c r="E244" s="19" t="s">
        <v>1094</v>
      </c>
      <c r="F244" s="29" t="s">
        <v>213</v>
      </c>
      <c r="G244" s="19"/>
      <c r="H244" s="29"/>
      <c r="I244" s="29"/>
      <c r="J244" s="33"/>
      <c r="K244" s="19"/>
    </row>
    <row r="245" customFormat="false" ht="23.25" hidden="false" customHeight="true" outlineLevel="0" collapsed="false">
      <c r="A245" s="22" t="s">
        <v>15</v>
      </c>
      <c r="B245" s="22" t="s">
        <v>1098</v>
      </c>
      <c r="C245" s="22" t="s">
        <v>1099</v>
      </c>
      <c r="D245" s="22" t="s">
        <v>1100</v>
      </c>
      <c r="E245" s="22" t="s">
        <v>1094</v>
      </c>
      <c r="F245" s="22" t="s">
        <v>213</v>
      </c>
      <c r="G245" s="22"/>
      <c r="H245" s="22"/>
      <c r="I245" s="22"/>
      <c r="J245" s="22"/>
      <c r="K245" s="22"/>
    </row>
    <row r="246" customFormat="false" ht="15.75" hidden="false" customHeight="true" outlineLevel="0" collapsed="false">
      <c r="A246" s="19" t="s">
        <v>15</v>
      </c>
      <c r="B246" s="19" t="s">
        <v>1101</v>
      </c>
      <c r="C246" s="29" t="s">
        <v>1102</v>
      </c>
      <c r="D246" s="19" t="s">
        <v>1103</v>
      </c>
      <c r="E246" s="19" t="s">
        <v>1094</v>
      </c>
      <c r="F246" s="29" t="s">
        <v>213</v>
      </c>
      <c r="G246" s="19"/>
      <c r="H246" s="29"/>
      <c r="I246" s="29"/>
      <c r="J246" s="33"/>
      <c r="K246" s="19"/>
    </row>
    <row r="247" customFormat="false" ht="15.75" hidden="false" customHeight="true" outlineLevel="0" collapsed="false">
      <c r="A247" s="22" t="s">
        <v>15</v>
      </c>
      <c r="B247" s="22" t="s">
        <v>1104</v>
      </c>
      <c r="C247" s="22" t="s">
        <v>1105</v>
      </c>
      <c r="D247" s="22" t="s">
        <v>373</v>
      </c>
      <c r="E247" s="22" t="s">
        <v>1106</v>
      </c>
      <c r="F247" s="22" t="s">
        <v>337</v>
      </c>
      <c r="G247" s="22"/>
      <c r="H247" s="22"/>
      <c r="I247" s="22"/>
      <c r="J247" s="22"/>
      <c r="K247" s="22"/>
      <c r="L247" s="54"/>
      <c r="M247" s="54"/>
      <c r="N247" s="54"/>
      <c r="O247" s="54"/>
      <c r="P247" s="54"/>
      <c r="Q247" s="54"/>
      <c r="R247" s="54"/>
      <c r="S247" s="54"/>
      <c r="T247" s="54"/>
      <c r="U247" s="54"/>
      <c r="V247" s="54"/>
      <c r="W247" s="54"/>
      <c r="X247" s="54"/>
      <c r="Y247" s="54"/>
      <c r="Z247" s="54"/>
    </row>
    <row r="248" customFormat="false" ht="23.25" hidden="false" customHeight="true" outlineLevel="0" collapsed="false">
      <c r="A248" s="19" t="s">
        <v>15</v>
      </c>
      <c r="B248" s="19" t="s">
        <v>1107</v>
      </c>
      <c r="C248" s="29" t="s">
        <v>1108</v>
      </c>
      <c r="D248" s="19" t="s">
        <v>1109</v>
      </c>
      <c r="E248" s="19" t="s">
        <v>1110</v>
      </c>
      <c r="F248" s="29" t="s">
        <v>252</v>
      </c>
      <c r="G248" s="19"/>
      <c r="H248" s="29"/>
      <c r="I248" s="29"/>
      <c r="J248" s="33"/>
      <c r="K248" s="19"/>
      <c r="L248" s="54"/>
      <c r="M248" s="54"/>
      <c r="N248" s="54"/>
      <c r="O248" s="54"/>
      <c r="P248" s="54"/>
      <c r="Q248" s="54"/>
      <c r="R248" s="54"/>
      <c r="S248" s="54"/>
      <c r="T248" s="54"/>
      <c r="U248" s="54"/>
      <c r="V248" s="54"/>
      <c r="W248" s="54"/>
      <c r="X248" s="54"/>
      <c r="Y248" s="54"/>
      <c r="Z248" s="54"/>
    </row>
    <row r="249" customFormat="false" ht="15.75" hidden="false" customHeight="true" outlineLevel="0" collapsed="false">
      <c r="A249" s="22" t="s">
        <v>15</v>
      </c>
      <c r="B249" s="22" t="s">
        <v>1111</v>
      </c>
      <c r="C249" s="22"/>
      <c r="D249" s="22" t="s">
        <v>1112</v>
      </c>
      <c r="E249" s="31" t="n">
        <v>45841</v>
      </c>
      <c r="F249" s="22" t="s">
        <v>213</v>
      </c>
      <c r="G249" s="31"/>
      <c r="H249" s="22"/>
      <c r="I249" s="22"/>
      <c r="J249" s="22"/>
      <c r="K249" s="22"/>
      <c r="L249" s="54"/>
      <c r="M249" s="54"/>
      <c r="N249" s="54"/>
      <c r="O249" s="54"/>
      <c r="P249" s="54"/>
      <c r="Q249" s="54"/>
      <c r="R249" s="54"/>
      <c r="S249" s="54"/>
      <c r="T249" s="54"/>
      <c r="U249" s="54"/>
      <c r="V249" s="54"/>
      <c r="W249" s="54"/>
      <c r="X249" s="54"/>
      <c r="Y249" s="54"/>
      <c r="Z249" s="54"/>
    </row>
    <row r="250" customFormat="false" ht="15.75" hidden="false" customHeight="true" outlineLevel="0" collapsed="false">
      <c r="A250" s="19" t="s">
        <v>15</v>
      </c>
      <c r="B250" s="19" t="s">
        <v>1113</v>
      </c>
      <c r="C250" s="29"/>
      <c r="D250" s="19" t="s">
        <v>1114</v>
      </c>
      <c r="E250" s="19" t="s">
        <v>1110</v>
      </c>
      <c r="F250" s="29" t="s">
        <v>213</v>
      </c>
      <c r="G250" s="19"/>
      <c r="H250" s="29"/>
      <c r="I250" s="29"/>
      <c r="J250" s="33"/>
      <c r="K250" s="19"/>
      <c r="L250" s="54"/>
      <c r="M250" s="54"/>
      <c r="N250" s="54"/>
      <c r="O250" s="54"/>
      <c r="P250" s="54"/>
      <c r="Q250" s="54"/>
      <c r="R250" s="54"/>
      <c r="S250" s="54"/>
      <c r="T250" s="54"/>
      <c r="U250" s="54"/>
      <c r="V250" s="54"/>
      <c r="W250" s="54"/>
      <c r="X250" s="54"/>
      <c r="Y250" s="54"/>
      <c r="Z250" s="54"/>
    </row>
    <row r="251" customFormat="false" ht="23.25" hidden="false" customHeight="true" outlineLevel="0" collapsed="false">
      <c r="A251" s="22" t="s">
        <v>15</v>
      </c>
      <c r="B251" s="22" t="s">
        <v>1115</v>
      </c>
      <c r="C251" s="22" t="s">
        <v>1116</v>
      </c>
      <c r="D251" s="22" t="s">
        <v>1117</v>
      </c>
      <c r="E251" s="22" t="s">
        <v>1110</v>
      </c>
      <c r="F251" s="22" t="s">
        <v>213</v>
      </c>
      <c r="G251" s="22" t="s">
        <v>1118</v>
      </c>
      <c r="H251" s="22" t="s">
        <v>1119</v>
      </c>
      <c r="I251" s="22" t="s">
        <v>1120</v>
      </c>
      <c r="J251" s="22" t="s">
        <v>1084</v>
      </c>
      <c r="K251" s="22"/>
      <c r="L251" s="54"/>
      <c r="M251" s="54"/>
      <c r="N251" s="54"/>
      <c r="O251" s="54"/>
      <c r="P251" s="54"/>
      <c r="Q251" s="54"/>
      <c r="R251" s="54"/>
      <c r="S251" s="54"/>
      <c r="T251" s="54"/>
      <c r="U251" s="54"/>
      <c r="V251" s="54"/>
      <c r="W251" s="54"/>
      <c r="X251" s="54"/>
      <c r="Y251" s="54"/>
      <c r="Z251" s="54"/>
    </row>
    <row r="252" customFormat="false" ht="34.5" hidden="false" customHeight="true" outlineLevel="0" collapsed="false">
      <c r="A252" s="19" t="s">
        <v>15</v>
      </c>
      <c r="B252" s="19" t="s">
        <v>1121</v>
      </c>
      <c r="C252" s="29" t="s">
        <v>1122</v>
      </c>
      <c r="D252" s="19" t="s">
        <v>1123</v>
      </c>
      <c r="E252" s="19" t="s">
        <v>1110</v>
      </c>
      <c r="F252" s="29" t="s">
        <v>213</v>
      </c>
      <c r="G252" s="19"/>
      <c r="H252" s="29"/>
      <c r="I252" s="29"/>
      <c r="J252" s="33"/>
      <c r="K252" s="19"/>
      <c r="L252" s="54"/>
      <c r="M252" s="54"/>
      <c r="N252" s="54"/>
      <c r="O252" s="54"/>
      <c r="P252" s="54"/>
      <c r="Q252" s="54"/>
      <c r="R252" s="54"/>
      <c r="S252" s="54"/>
      <c r="T252" s="54"/>
      <c r="U252" s="54"/>
      <c r="V252" s="54"/>
      <c r="W252" s="54"/>
      <c r="X252" s="54"/>
      <c r="Y252" s="54"/>
      <c r="Z252" s="54"/>
    </row>
    <row r="253" customFormat="false" ht="45.75" hidden="false" customHeight="true" outlineLevel="0" collapsed="false">
      <c r="A253" s="22" t="s">
        <v>15</v>
      </c>
      <c r="B253" s="22" t="s">
        <v>1124</v>
      </c>
      <c r="C253" s="22" t="s">
        <v>1125</v>
      </c>
      <c r="D253" s="22" t="s">
        <v>1126</v>
      </c>
      <c r="E253" s="22" t="s">
        <v>1127</v>
      </c>
      <c r="F253" s="22" t="s">
        <v>240</v>
      </c>
      <c r="G253" s="22"/>
      <c r="H253" s="22" t="s">
        <v>1128</v>
      </c>
      <c r="I253" s="22" t="s">
        <v>1129</v>
      </c>
      <c r="J253" s="22"/>
      <c r="K253" s="22"/>
      <c r="L253" s="55"/>
      <c r="M253" s="55"/>
      <c r="N253" s="55"/>
      <c r="O253" s="55"/>
      <c r="P253" s="55"/>
      <c r="Q253" s="55"/>
      <c r="R253" s="55"/>
      <c r="S253" s="55"/>
      <c r="T253" s="55"/>
      <c r="U253" s="55"/>
      <c r="V253" s="55"/>
      <c r="W253" s="55"/>
      <c r="X253" s="55"/>
      <c r="Y253" s="55"/>
      <c r="Z253" s="55"/>
    </row>
    <row r="254" customFormat="false" ht="15.75" hidden="false" customHeight="true" outlineLevel="0" collapsed="false">
      <c r="A254" s="19" t="s">
        <v>15</v>
      </c>
      <c r="B254" s="19" t="s">
        <v>1130</v>
      </c>
      <c r="C254" s="29" t="s">
        <v>1131</v>
      </c>
      <c r="D254" s="19" t="s">
        <v>240</v>
      </c>
      <c r="E254" s="19" t="s">
        <v>1127</v>
      </c>
      <c r="F254" s="29" t="s">
        <v>240</v>
      </c>
      <c r="G254" s="19"/>
      <c r="H254" s="29"/>
      <c r="I254" s="29"/>
      <c r="J254" s="33"/>
      <c r="K254" s="19"/>
      <c r="L254" s="54"/>
      <c r="M254" s="54"/>
      <c r="N254" s="54"/>
      <c r="O254" s="54"/>
      <c r="P254" s="54"/>
      <c r="Q254" s="54"/>
      <c r="R254" s="54"/>
      <c r="S254" s="54"/>
      <c r="T254" s="54"/>
      <c r="U254" s="54"/>
      <c r="V254" s="54"/>
      <c r="W254" s="54"/>
      <c r="X254" s="54"/>
      <c r="Y254" s="54"/>
      <c r="Z254" s="54"/>
    </row>
    <row r="255" customFormat="false" ht="79.5" hidden="false" customHeight="true" outlineLevel="0" collapsed="false">
      <c r="A255" s="22" t="s">
        <v>15</v>
      </c>
      <c r="B255" s="22" t="s">
        <v>1132</v>
      </c>
      <c r="C255" s="22" t="s">
        <v>1133</v>
      </c>
      <c r="D255" s="22" t="s">
        <v>240</v>
      </c>
      <c r="E255" s="22" t="s">
        <v>1127</v>
      </c>
      <c r="F255" s="22" t="s">
        <v>240</v>
      </c>
      <c r="G255" s="22"/>
      <c r="H255" s="22" t="s">
        <v>1134</v>
      </c>
      <c r="I255" s="22" t="s">
        <v>1135</v>
      </c>
      <c r="J255" s="22"/>
      <c r="K255" s="22"/>
      <c r="L255" s="54"/>
      <c r="M255" s="54"/>
      <c r="N255" s="54"/>
      <c r="O255" s="54"/>
      <c r="P255" s="54"/>
      <c r="Q255" s="54"/>
      <c r="R255" s="54"/>
      <c r="S255" s="54"/>
      <c r="T255" s="54"/>
      <c r="U255" s="54"/>
      <c r="V255" s="54"/>
      <c r="W255" s="54"/>
      <c r="X255" s="54"/>
      <c r="Y255" s="54"/>
      <c r="Z255" s="54"/>
    </row>
    <row r="256" customFormat="false" ht="23.25" hidden="false" customHeight="true" outlineLevel="0" collapsed="false">
      <c r="A256" s="19" t="s">
        <v>15</v>
      </c>
      <c r="B256" s="19" t="s">
        <v>1136</v>
      </c>
      <c r="C256" s="29" t="s">
        <v>1137</v>
      </c>
      <c r="D256" s="19" t="s">
        <v>1138</v>
      </c>
      <c r="E256" s="19" t="s">
        <v>1110</v>
      </c>
      <c r="F256" s="29" t="s">
        <v>213</v>
      </c>
      <c r="G256" s="19"/>
      <c r="H256" s="29" t="s">
        <v>1139</v>
      </c>
      <c r="I256" s="29" t="s">
        <v>1140</v>
      </c>
      <c r="J256" s="33"/>
      <c r="K256" s="19"/>
      <c r="L256" s="54"/>
      <c r="M256" s="54"/>
      <c r="N256" s="54"/>
      <c r="O256" s="54"/>
      <c r="P256" s="54"/>
      <c r="Q256" s="54"/>
      <c r="R256" s="54"/>
      <c r="S256" s="54"/>
      <c r="T256" s="54"/>
      <c r="U256" s="54"/>
      <c r="V256" s="54"/>
      <c r="W256" s="54"/>
      <c r="X256" s="54"/>
      <c r="Y256" s="54"/>
      <c r="Z256" s="54"/>
    </row>
    <row r="257" customFormat="false" ht="68.25" hidden="false" customHeight="true" outlineLevel="0" collapsed="false">
      <c r="A257" s="22" t="s">
        <v>15</v>
      </c>
      <c r="B257" s="22" t="s">
        <v>1141</v>
      </c>
      <c r="C257" s="22" t="s">
        <v>1142</v>
      </c>
      <c r="D257" s="22" t="s">
        <v>1143</v>
      </c>
      <c r="E257" s="22" t="s">
        <v>1127</v>
      </c>
      <c r="F257" s="22" t="s">
        <v>240</v>
      </c>
      <c r="G257" s="22"/>
      <c r="H257" s="22" t="s">
        <v>1144</v>
      </c>
      <c r="I257" s="22" t="s">
        <v>1145</v>
      </c>
      <c r="J257" s="22"/>
      <c r="K257" s="22"/>
      <c r="L257" s="54"/>
      <c r="M257" s="54"/>
      <c r="N257" s="54"/>
      <c r="O257" s="54"/>
      <c r="P257" s="54"/>
      <c r="Q257" s="54"/>
      <c r="R257" s="54"/>
      <c r="S257" s="54"/>
      <c r="T257" s="54"/>
      <c r="U257" s="54"/>
      <c r="V257" s="54"/>
      <c r="W257" s="54"/>
      <c r="X257" s="54"/>
      <c r="Y257" s="54"/>
      <c r="Z257" s="54"/>
    </row>
    <row r="258" customFormat="false" ht="23.25" hidden="false" customHeight="true" outlineLevel="0" collapsed="false">
      <c r="A258" s="19" t="s">
        <v>15</v>
      </c>
      <c r="B258" s="19" t="s">
        <v>1146</v>
      </c>
      <c r="C258" s="29" t="s">
        <v>1147</v>
      </c>
      <c r="D258" s="19" t="s">
        <v>240</v>
      </c>
      <c r="E258" s="19" t="s">
        <v>1127</v>
      </c>
      <c r="F258" s="29" t="s">
        <v>240</v>
      </c>
      <c r="G258" s="19"/>
      <c r="H258" s="29" t="s">
        <v>1148</v>
      </c>
      <c r="I258" s="29" t="s">
        <v>1149</v>
      </c>
      <c r="J258" s="33"/>
      <c r="K258" s="19"/>
      <c r="L258" s="54"/>
      <c r="M258" s="54"/>
      <c r="N258" s="54"/>
      <c r="O258" s="54"/>
      <c r="P258" s="54"/>
      <c r="Q258" s="54"/>
      <c r="R258" s="54"/>
      <c r="S258" s="54"/>
      <c r="T258" s="54"/>
      <c r="U258" s="54"/>
      <c r="V258" s="54"/>
      <c r="W258" s="54"/>
      <c r="X258" s="54"/>
      <c r="Y258" s="54"/>
      <c r="Z258" s="54"/>
    </row>
    <row r="259" customFormat="false" ht="34.5" hidden="false" customHeight="true" outlineLevel="0" collapsed="false">
      <c r="A259" s="22" t="s">
        <v>15</v>
      </c>
      <c r="B259" s="22" t="s">
        <v>1150</v>
      </c>
      <c r="C259" s="22" t="s">
        <v>1151</v>
      </c>
      <c r="D259" s="22" t="s">
        <v>240</v>
      </c>
      <c r="E259" s="22" t="s">
        <v>1127</v>
      </c>
      <c r="F259" s="22" t="s">
        <v>240</v>
      </c>
      <c r="G259" s="22"/>
      <c r="H259" s="22" t="s">
        <v>1152</v>
      </c>
      <c r="I259" s="22" t="s">
        <v>1153</v>
      </c>
      <c r="J259" s="22"/>
      <c r="K259" s="22"/>
      <c r="L259" s="54"/>
      <c r="M259" s="54"/>
      <c r="N259" s="54"/>
      <c r="O259" s="54"/>
      <c r="P259" s="54"/>
      <c r="Q259" s="54"/>
      <c r="R259" s="54"/>
      <c r="S259" s="54"/>
      <c r="T259" s="54"/>
      <c r="U259" s="54"/>
      <c r="V259" s="54"/>
      <c r="W259" s="54"/>
      <c r="X259" s="54"/>
      <c r="Y259" s="54"/>
      <c r="Z259" s="54"/>
    </row>
    <row r="260" customFormat="false" ht="23.25" hidden="false" customHeight="true" outlineLevel="0" collapsed="false">
      <c r="A260" s="19" t="s">
        <v>15</v>
      </c>
      <c r="B260" s="19" t="s">
        <v>1154</v>
      </c>
      <c r="C260" s="29"/>
      <c r="D260" s="19" t="s">
        <v>1155</v>
      </c>
      <c r="E260" s="39" t="n">
        <v>45869</v>
      </c>
      <c r="F260" s="29" t="s">
        <v>337</v>
      </c>
      <c r="G260" s="39"/>
      <c r="H260" s="29"/>
      <c r="I260" s="29"/>
      <c r="J260" s="33"/>
      <c r="K260" s="19"/>
      <c r="L260" s="54"/>
      <c r="M260" s="54"/>
      <c r="N260" s="54"/>
      <c r="O260" s="54"/>
      <c r="P260" s="54"/>
      <c r="Q260" s="54"/>
      <c r="R260" s="54"/>
      <c r="S260" s="54"/>
      <c r="T260" s="54"/>
      <c r="U260" s="54"/>
      <c r="V260" s="54"/>
      <c r="W260" s="54"/>
      <c r="X260" s="54"/>
      <c r="Y260" s="54"/>
      <c r="Z260" s="54"/>
    </row>
    <row r="261" customFormat="false" ht="23.25" hidden="false" customHeight="true" outlineLevel="0" collapsed="false">
      <c r="A261" s="22" t="s">
        <v>15</v>
      </c>
      <c r="B261" s="22" t="s">
        <v>1156</v>
      </c>
      <c r="C261" s="22" t="s">
        <v>1157</v>
      </c>
      <c r="D261" s="22" t="s">
        <v>1158</v>
      </c>
      <c r="E261" s="31" t="n">
        <v>45869</v>
      </c>
      <c r="F261" s="22" t="s">
        <v>337</v>
      </c>
      <c r="G261" s="31"/>
      <c r="H261" s="22"/>
      <c r="I261" s="22"/>
      <c r="J261" s="22"/>
      <c r="K261" s="22"/>
      <c r="L261" s="54"/>
      <c r="M261" s="54"/>
      <c r="N261" s="54"/>
      <c r="O261" s="54"/>
      <c r="P261" s="54"/>
      <c r="Q261" s="54"/>
      <c r="R261" s="54"/>
      <c r="S261" s="54"/>
      <c r="T261" s="54"/>
      <c r="U261" s="54"/>
      <c r="V261" s="54"/>
      <c r="W261" s="54"/>
      <c r="X261" s="54"/>
      <c r="Y261" s="54"/>
      <c r="Z261" s="54"/>
    </row>
    <row r="262" customFormat="false" ht="90.75" hidden="false" customHeight="true" outlineLevel="0" collapsed="false">
      <c r="A262" s="29" t="s">
        <v>15</v>
      </c>
      <c r="B262" s="29" t="s">
        <v>1159</v>
      </c>
      <c r="C262" s="29" t="s">
        <v>1160</v>
      </c>
      <c r="D262" s="29"/>
      <c r="E262" s="32"/>
      <c r="F262" s="29"/>
      <c r="G262" s="32"/>
      <c r="H262" s="29"/>
      <c r="I262" s="29"/>
      <c r="J262" s="29"/>
      <c r="K262" s="29"/>
      <c r="L262" s="56"/>
      <c r="M262" s="56"/>
      <c r="N262" s="56"/>
      <c r="O262" s="56"/>
      <c r="P262" s="56"/>
      <c r="Q262" s="56"/>
      <c r="R262" s="56"/>
      <c r="S262" s="56"/>
      <c r="T262" s="56"/>
      <c r="U262" s="56"/>
      <c r="V262" s="56"/>
      <c r="W262" s="56"/>
      <c r="X262" s="56"/>
      <c r="Y262" s="56"/>
      <c r="Z262" s="56"/>
    </row>
    <row r="263" customFormat="false" ht="90.75" hidden="false" customHeight="true" outlineLevel="0" collapsed="false">
      <c r="A263" s="22" t="s">
        <v>15</v>
      </c>
      <c r="B263" s="22" t="s">
        <v>1161</v>
      </c>
      <c r="C263" s="22" t="s">
        <v>1162</v>
      </c>
      <c r="D263" s="22" t="s">
        <v>1163</v>
      </c>
      <c r="E263" s="31"/>
      <c r="F263" s="22"/>
      <c r="G263" s="31"/>
      <c r="H263" s="22" t="s">
        <v>1164</v>
      </c>
      <c r="I263" s="22" t="s">
        <v>1165</v>
      </c>
      <c r="J263" s="22"/>
      <c r="K263" s="22"/>
      <c r="L263" s="56"/>
      <c r="M263" s="56"/>
      <c r="N263" s="56"/>
      <c r="O263" s="56"/>
      <c r="P263" s="56"/>
      <c r="Q263" s="56"/>
      <c r="R263" s="56"/>
      <c r="S263" s="56"/>
      <c r="T263" s="56"/>
      <c r="U263" s="56"/>
      <c r="V263" s="56"/>
      <c r="W263" s="56"/>
      <c r="X263" s="56"/>
      <c r="Y263" s="56"/>
      <c r="Z263" s="56"/>
    </row>
    <row r="264" customFormat="false" ht="45.75" hidden="false" customHeight="true" outlineLevel="0" collapsed="false">
      <c r="A264" s="29" t="s">
        <v>15</v>
      </c>
      <c r="B264" s="29" t="s">
        <v>1166</v>
      </c>
      <c r="C264" s="29" t="s">
        <v>1167</v>
      </c>
      <c r="D264" s="29" t="s">
        <v>1168</v>
      </c>
      <c r="E264" s="32" t="n">
        <v>45952</v>
      </c>
      <c r="F264" s="29" t="s">
        <v>240</v>
      </c>
      <c r="G264" s="29" t="s">
        <v>1169</v>
      </c>
      <c r="H264" s="29" t="s">
        <v>1170</v>
      </c>
      <c r="I264" s="29"/>
      <c r="J264" s="29" t="s">
        <v>616</v>
      </c>
      <c r="K264" s="29"/>
      <c r="L264" s="56"/>
      <c r="M264" s="56"/>
      <c r="N264" s="56"/>
      <c r="O264" s="56"/>
      <c r="P264" s="56"/>
      <c r="Q264" s="56"/>
      <c r="R264" s="56"/>
      <c r="S264" s="56"/>
      <c r="T264" s="56"/>
      <c r="U264" s="56"/>
      <c r="V264" s="56"/>
      <c r="W264" s="56"/>
      <c r="X264" s="56"/>
      <c r="Y264" s="56"/>
      <c r="Z264" s="56"/>
    </row>
    <row r="265" customFormat="false" ht="57" hidden="false" customHeight="true" outlineLevel="0" collapsed="false">
      <c r="A265" s="22" t="s">
        <v>15</v>
      </c>
      <c r="B265" s="22" t="s">
        <v>1171</v>
      </c>
      <c r="C265" s="22" t="s">
        <v>1172</v>
      </c>
      <c r="D265" s="22" t="s">
        <v>1173</v>
      </c>
      <c r="E265" s="31"/>
      <c r="F265" s="22"/>
      <c r="G265" s="22" t="s">
        <v>930</v>
      </c>
      <c r="H265" s="22"/>
      <c r="I265" s="22"/>
      <c r="J265" s="22"/>
      <c r="K265" s="22"/>
      <c r="L265" s="56"/>
      <c r="M265" s="56"/>
      <c r="N265" s="56"/>
      <c r="O265" s="56"/>
      <c r="P265" s="56"/>
      <c r="Q265" s="56"/>
      <c r="R265" s="56"/>
      <c r="S265" s="56"/>
      <c r="T265" s="56"/>
      <c r="U265" s="56"/>
      <c r="V265" s="56"/>
      <c r="W265" s="56"/>
      <c r="X265" s="56"/>
      <c r="Y265" s="56"/>
      <c r="Z265" s="56"/>
    </row>
    <row r="266" customFormat="false" ht="34.5" hidden="false" customHeight="true" outlineLevel="0" collapsed="false">
      <c r="A266" s="29" t="s">
        <v>15</v>
      </c>
      <c r="B266" s="29" t="s">
        <v>1174</v>
      </c>
      <c r="C266" s="29" t="s">
        <v>1175</v>
      </c>
      <c r="D266" s="29" t="s">
        <v>1176</v>
      </c>
      <c r="E266" s="32"/>
      <c r="F266" s="29"/>
      <c r="G266" s="29" t="s">
        <v>1177</v>
      </c>
      <c r="H266" s="29" t="s">
        <v>1178</v>
      </c>
      <c r="I266" s="29" t="s">
        <v>1179</v>
      </c>
      <c r="J266" s="29" t="s">
        <v>616</v>
      </c>
      <c r="K266" s="29"/>
      <c r="L266" s="56"/>
      <c r="M266" s="56"/>
      <c r="N266" s="56"/>
      <c r="O266" s="56"/>
      <c r="P266" s="56"/>
      <c r="Q266" s="56"/>
      <c r="R266" s="56"/>
      <c r="S266" s="56"/>
      <c r="T266" s="56"/>
      <c r="U266" s="56"/>
      <c r="V266" s="56"/>
      <c r="W266" s="56"/>
      <c r="X266" s="56"/>
      <c r="Y266" s="56"/>
      <c r="Z266" s="56"/>
    </row>
    <row r="267" customFormat="false" ht="57" hidden="false" customHeight="true" outlineLevel="0" collapsed="false">
      <c r="A267" s="22" t="s">
        <v>15</v>
      </c>
      <c r="B267" s="22" t="s">
        <v>1180</v>
      </c>
      <c r="C267" s="22" t="s">
        <v>1181</v>
      </c>
      <c r="D267" s="22" t="s">
        <v>1182</v>
      </c>
      <c r="E267" s="31"/>
      <c r="F267" s="22"/>
      <c r="G267" s="22" t="s">
        <v>1169</v>
      </c>
      <c r="H267" s="22" t="s">
        <v>1183</v>
      </c>
      <c r="I267" s="22" t="s">
        <v>1184</v>
      </c>
      <c r="J267" s="22"/>
      <c r="K267" s="22"/>
      <c r="L267" s="56"/>
      <c r="M267" s="56"/>
      <c r="N267" s="56"/>
      <c r="O267" s="56"/>
      <c r="P267" s="56"/>
      <c r="Q267" s="56"/>
      <c r="R267" s="56"/>
      <c r="S267" s="56"/>
      <c r="T267" s="56"/>
      <c r="U267" s="56"/>
      <c r="V267" s="56"/>
      <c r="W267" s="56"/>
      <c r="X267" s="56"/>
      <c r="Y267" s="56"/>
      <c r="Z267" s="56"/>
    </row>
    <row r="268" customFormat="false" ht="135.75" hidden="false" customHeight="true" outlineLevel="0" collapsed="false">
      <c r="A268" s="29" t="s">
        <v>15</v>
      </c>
      <c r="B268" s="29" t="s">
        <v>1185</v>
      </c>
      <c r="C268" s="29" t="s">
        <v>1186</v>
      </c>
      <c r="D268" s="29" t="s">
        <v>1187</v>
      </c>
      <c r="E268" s="32"/>
      <c r="F268" s="29"/>
      <c r="G268" s="29" t="s">
        <v>930</v>
      </c>
      <c r="H268" s="29"/>
      <c r="I268" s="29"/>
      <c r="J268" s="29"/>
      <c r="K268" s="29"/>
      <c r="L268" s="56"/>
      <c r="M268" s="56"/>
      <c r="N268" s="56"/>
      <c r="O268" s="56"/>
      <c r="P268" s="56"/>
      <c r="Q268" s="56"/>
      <c r="R268" s="56"/>
      <c r="S268" s="56"/>
      <c r="T268" s="56"/>
      <c r="U268" s="56"/>
      <c r="V268" s="56"/>
      <c r="W268" s="56"/>
      <c r="X268" s="56"/>
      <c r="Y268" s="56"/>
      <c r="Z268" s="56"/>
    </row>
    <row r="269" customFormat="false" ht="113.25" hidden="false" customHeight="true" outlineLevel="0" collapsed="false">
      <c r="A269" s="22" t="s">
        <v>15</v>
      </c>
      <c r="B269" s="22" t="s">
        <v>1188</v>
      </c>
      <c r="C269" s="22" t="s">
        <v>1189</v>
      </c>
      <c r="D269" s="22" t="s">
        <v>1190</v>
      </c>
      <c r="E269" s="31"/>
      <c r="F269" s="22" t="s">
        <v>1191</v>
      </c>
      <c r="G269" s="22" t="s">
        <v>1192</v>
      </c>
      <c r="H269" s="22" t="s">
        <v>1193</v>
      </c>
      <c r="I269" s="22"/>
      <c r="J269" s="22"/>
      <c r="K269" s="22"/>
      <c r="L269" s="56"/>
      <c r="M269" s="56"/>
      <c r="N269" s="56"/>
      <c r="O269" s="56"/>
      <c r="P269" s="56"/>
      <c r="Q269" s="56"/>
      <c r="R269" s="56"/>
      <c r="S269" s="56"/>
      <c r="T269" s="56"/>
      <c r="U269" s="56"/>
      <c r="V269" s="56"/>
      <c r="W269" s="56"/>
      <c r="X269" s="56"/>
      <c r="Y269" s="56"/>
      <c r="Z269" s="56"/>
    </row>
    <row r="270" customFormat="false" ht="23.25" hidden="false" customHeight="true" outlineLevel="0" collapsed="false">
      <c r="A270" s="29" t="s">
        <v>15</v>
      </c>
      <c r="B270" s="29" t="s">
        <v>1194</v>
      </c>
      <c r="C270" s="29" t="s">
        <v>1195</v>
      </c>
      <c r="D270" s="29"/>
      <c r="E270" s="29"/>
      <c r="F270" s="29"/>
      <c r="G270" s="29" t="s">
        <v>1196</v>
      </c>
      <c r="H270" s="29"/>
      <c r="I270" s="29"/>
      <c r="J270" s="29"/>
      <c r="K270" s="29"/>
      <c r="L270" s="57"/>
      <c r="M270" s="57"/>
      <c r="N270" s="57"/>
      <c r="O270" s="57"/>
      <c r="P270" s="57"/>
      <c r="Q270" s="57"/>
      <c r="R270" s="57"/>
      <c r="S270" s="57"/>
      <c r="T270" s="57"/>
      <c r="U270" s="57"/>
      <c r="V270" s="57"/>
      <c r="W270" s="57"/>
      <c r="X270" s="57"/>
      <c r="Y270" s="57"/>
      <c r="Z270" s="56"/>
    </row>
    <row r="271" customFormat="false" ht="57" hidden="false" customHeight="true" outlineLevel="0" collapsed="false">
      <c r="A271" s="22" t="s">
        <v>15</v>
      </c>
      <c r="B271" s="22" t="s">
        <v>1197</v>
      </c>
      <c r="C271" s="22" t="s">
        <v>1198</v>
      </c>
      <c r="D271" s="22" t="s">
        <v>1199</v>
      </c>
      <c r="E271" s="22"/>
      <c r="F271" s="22"/>
      <c r="G271" s="22" t="s">
        <v>1177</v>
      </c>
      <c r="H271" s="22" t="s">
        <v>1200</v>
      </c>
      <c r="I271" s="22"/>
      <c r="J271" s="22"/>
      <c r="K271" s="22"/>
      <c r="L271" s="57"/>
      <c r="M271" s="57"/>
      <c r="N271" s="57"/>
      <c r="O271" s="57"/>
      <c r="P271" s="57"/>
      <c r="Q271" s="57"/>
      <c r="R271" s="57"/>
      <c r="S271" s="57"/>
      <c r="T271" s="57"/>
      <c r="U271" s="57"/>
      <c r="V271" s="57"/>
      <c r="W271" s="57"/>
      <c r="X271" s="57"/>
      <c r="Y271" s="57"/>
      <c r="Z271" s="56"/>
    </row>
    <row r="272" customFormat="false" ht="23.25" hidden="false" customHeight="true" outlineLevel="0" collapsed="false">
      <c r="A272" s="29" t="s">
        <v>15</v>
      </c>
      <c r="B272" s="29" t="s">
        <v>1201</v>
      </c>
      <c r="C272" s="29"/>
      <c r="D272" s="29" t="s">
        <v>1202</v>
      </c>
      <c r="E272" s="29"/>
      <c r="F272" s="29"/>
      <c r="G272" s="29" t="s">
        <v>1203</v>
      </c>
      <c r="H272" s="29" t="s">
        <v>1204</v>
      </c>
      <c r="I272" s="29" t="s">
        <v>1205</v>
      </c>
      <c r="J272" s="29"/>
      <c r="K272" s="29"/>
      <c r="L272" s="57"/>
      <c r="M272" s="57"/>
      <c r="N272" s="57"/>
      <c r="O272" s="57"/>
      <c r="P272" s="57"/>
      <c r="Q272" s="57"/>
      <c r="R272" s="57"/>
      <c r="S272" s="57"/>
      <c r="T272" s="57"/>
      <c r="U272" s="57"/>
      <c r="V272" s="57"/>
      <c r="W272" s="57"/>
      <c r="X272" s="57"/>
      <c r="Y272" s="57"/>
      <c r="Z272" s="56"/>
    </row>
    <row r="273" customFormat="false" ht="34.5" hidden="false" customHeight="true" outlineLevel="0" collapsed="false">
      <c r="A273" s="22" t="s">
        <v>15</v>
      </c>
      <c r="B273" s="22" t="s">
        <v>1206</v>
      </c>
      <c r="C273" s="22" t="s">
        <v>1207</v>
      </c>
      <c r="D273" s="22" t="s">
        <v>1208</v>
      </c>
      <c r="E273" s="22"/>
      <c r="F273" s="22"/>
      <c r="G273" s="22" t="s">
        <v>1209</v>
      </c>
      <c r="H273" s="22" t="s">
        <v>1210</v>
      </c>
      <c r="I273" s="22" t="s">
        <v>1211</v>
      </c>
      <c r="J273" s="22"/>
      <c r="K273" s="22"/>
      <c r="L273" s="57"/>
      <c r="M273" s="57"/>
      <c r="N273" s="57"/>
      <c r="O273" s="57"/>
      <c r="P273" s="57"/>
      <c r="Q273" s="57"/>
      <c r="R273" s="57"/>
      <c r="S273" s="57"/>
      <c r="T273" s="57"/>
      <c r="U273" s="57"/>
      <c r="V273" s="57"/>
      <c r="W273" s="57"/>
      <c r="X273" s="57"/>
      <c r="Y273" s="57"/>
      <c r="Z273" s="56"/>
    </row>
    <row r="274" customFormat="false" ht="34.5" hidden="false" customHeight="true" outlineLevel="0" collapsed="false">
      <c r="A274" s="29" t="s">
        <v>15</v>
      </c>
      <c r="B274" s="29" t="s">
        <v>1212</v>
      </c>
      <c r="C274" s="29" t="s">
        <v>1213</v>
      </c>
      <c r="D274" s="29" t="s">
        <v>1214</v>
      </c>
      <c r="E274" s="29"/>
      <c r="F274" s="29"/>
      <c r="G274" s="29" t="s">
        <v>1203</v>
      </c>
      <c r="H274" s="29" t="s">
        <v>1215</v>
      </c>
      <c r="I274" s="29" t="s">
        <v>1216</v>
      </c>
      <c r="J274" s="29"/>
      <c r="K274" s="29"/>
      <c r="L274" s="57"/>
      <c r="M274" s="57"/>
      <c r="N274" s="57"/>
      <c r="O274" s="57"/>
      <c r="P274" s="57"/>
      <c r="Q274" s="57"/>
      <c r="R274" s="57"/>
      <c r="S274" s="57"/>
      <c r="T274" s="57"/>
      <c r="U274" s="57"/>
      <c r="V274" s="57"/>
      <c r="W274" s="57"/>
      <c r="X274" s="57"/>
      <c r="Y274" s="57"/>
      <c r="Z274" s="56"/>
    </row>
    <row r="275" customFormat="false" ht="23.25" hidden="false" customHeight="true" outlineLevel="0" collapsed="false">
      <c r="A275" s="22" t="s">
        <v>15</v>
      </c>
      <c r="B275" s="22" t="s">
        <v>1217</v>
      </c>
      <c r="C275" s="22" t="s">
        <v>1218</v>
      </c>
      <c r="D275" s="22" t="s">
        <v>1219</v>
      </c>
      <c r="E275" s="22"/>
      <c r="F275" s="22"/>
      <c r="G275" s="22" t="s">
        <v>1203</v>
      </c>
      <c r="H275" s="22" t="s">
        <v>1220</v>
      </c>
      <c r="I275" s="22" t="s">
        <v>1221</v>
      </c>
      <c r="J275" s="22"/>
      <c r="K275" s="22"/>
      <c r="L275" s="57"/>
      <c r="M275" s="57"/>
      <c r="N275" s="57"/>
      <c r="O275" s="57"/>
      <c r="P275" s="57"/>
      <c r="Q275" s="57"/>
      <c r="R275" s="57"/>
      <c r="S275" s="57"/>
      <c r="T275" s="57"/>
      <c r="U275" s="57"/>
      <c r="V275" s="57"/>
      <c r="W275" s="57"/>
      <c r="X275" s="57"/>
      <c r="Y275" s="57"/>
      <c r="Z275" s="56"/>
    </row>
    <row r="276" customFormat="false" ht="15.75" hidden="false" customHeight="true" outlineLevel="0" collapsed="false">
      <c r="A276" s="29" t="s">
        <v>15</v>
      </c>
      <c r="B276" s="29" t="s">
        <v>1222</v>
      </c>
      <c r="C276" s="29" t="s">
        <v>1223</v>
      </c>
      <c r="D276" s="29"/>
      <c r="E276" s="29"/>
      <c r="F276" s="29"/>
      <c r="G276" s="29" t="s">
        <v>930</v>
      </c>
      <c r="H276" s="29"/>
      <c r="I276" s="29"/>
      <c r="J276" s="29"/>
      <c r="K276" s="29"/>
      <c r="L276" s="57"/>
      <c r="M276" s="57"/>
      <c r="N276" s="57"/>
      <c r="O276" s="57"/>
      <c r="P276" s="57"/>
      <c r="Q276" s="57"/>
      <c r="R276" s="57"/>
      <c r="S276" s="57"/>
      <c r="T276" s="57"/>
      <c r="U276" s="57"/>
      <c r="V276" s="57"/>
      <c r="W276" s="57"/>
      <c r="X276" s="57"/>
      <c r="Y276" s="57"/>
      <c r="Z276" s="56"/>
    </row>
    <row r="277" customFormat="false" ht="34.5" hidden="false" customHeight="true" outlineLevel="0" collapsed="false">
      <c r="A277" s="22" t="s">
        <v>15</v>
      </c>
      <c r="B277" s="22" t="s">
        <v>1224</v>
      </c>
      <c r="C277" s="22" t="s">
        <v>1225</v>
      </c>
      <c r="D277" s="22" t="s">
        <v>1226</v>
      </c>
      <c r="E277" s="22"/>
      <c r="F277" s="22"/>
      <c r="G277" s="22" t="s">
        <v>1227</v>
      </c>
      <c r="H277" s="22"/>
      <c r="I277" s="22"/>
      <c r="J277" s="22"/>
      <c r="K277" s="22"/>
      <c r="L277" s="57"/>
      <c r="M277" s="57"/>
      <c r="N277" s="57"/>
      <c r="O277" s="57"/>
      <c r="P277" s="57"/>
      <c r="Q277" s="57"/>
      <c r="R277" s="57"/>
      <c r="S277" s="57"/>
      <c r="T277" s="57"/>
      <c r="U277" s="57"/>
      <c r="V277" s="57"/>
      <c r="W277" s="57"/>
      <c r="X277" s="57"/>
      <c r="Y277" s="57"/>
      <c r="Z277" s="56"/>
    </row>
    <row r="278" customFormat="false" ht="45.75" hidden="false" customHeight="true" outlineLevel="0" collapsed="false">
      <c r="A278" s="29" t="s">
        <v>15</v>
      </c>
      <c r="B278" s="29" t="s">
        <v>1228</v>
      </c>
      <c r="C278" s="29" t="s">
        <v>1229</v>
      </c>
      <c r="D278" s="29" t="s">
        <v>1230</v>
      </c>
      <c r="E278" s="29"/>
      <c r="F278" s="29"/>
      <c r="G278" s="29" t="s">
        <v>1203</v>
      </c>
      <c r="H278" s="29" t="s">
        <v>1231</v>
      </c>
      <c r="I278" s="29" t="s">
        <v>1232</v>
      </c>
      <c r="J278" s="29"/>
      <c r="K278" s="29"/>
      <c r="L278" s="57"/>
      <c r="M278" s="57"/>
      <c r="N278" s="57"/>
      <c r="O278" s="57"/>
      <c r="P278" s="57"/>
      <c r="Q278" s="57"/>
      <c r="R278" s="57"/>
      <c r="S278" s="57"/>
      <c r="T278" s="57"/>
      <c r="U278" s="57"/>
      <c r="V278" s="57"/>
      <c r="W278" s="57"/>
      <c r="X278" s="57"/>
      <c r="Y278" s="57"/>
      <c r="Z278" s="56"/>
    </row>
    <row r="279" customFormat="false" ht="23.25" hidden="false" customHeight="true" outlineLevel="0" collapsed="false">
      <c r="A279" s="22" t="s">
        <v>15</v>
      </c>
      <c r="B279" s="22" t="s">
        <v>1233</v>
      </c>
      <c r="C279" s="22" t="s">
        <v>1234</v>
      </c>
      <c r="D279" s="22" t="s">
        <v>1202</v>
      </c>
      <c r="E279" s="22"/>
      <c r="F279" s="22"/>
      <c r="G279" s="22" t="s">
        <v>1203</v>
      </c>
      <c r="H279" s="22" t="s">
        <v>1235</v>
      </c>
      <c r="I279" s="22" t="s">
        <v>1236</v>
      </c>
      <c r="J279" s="22"/>
      <c r="K279" s="22"/>
      <c r="L279" s="57"/>
      <c r="M279" s="57"/>
      <c r="N279" s="57"/>
      <c r="O279" s="57"/>
      <c r="P279" s="57"/>
      <c r="Q279" s="57"/>
      <c r="R279" s="57"/>
      <c r="S279" s="57"/>
      <c r="T279" s="57"/>
      <c r="U279" s="57"/>
      <c r="V279" s="57"/>
      <c r="W279" s="57"/>
      <c r="X279" s="57"/>
      <c r="Y279" s="57"/>
      <c r="Z279" s="56"/>
    </row>
    <row r="280" customFormat="false" ht="45.75" hidden="false" customHeight="true" outlineLevel="0" collapsed="false">
      <c r="A280" s="29" t="s">
        <v>15</v>
      </c>
      <c r="B280" s="29" t="s">
        <v>1237</v>
      </c>
      <c r="C280" s="29" t="s">
        <v>1238</v>
      </c>
      <c r="D280" s="29" t="s">
        <v>1239</v>
      </c>
      <c r="E280" s="29"/>
      <c r="F280" s="29"/>
      <c r="G280" s="29" t="s">
        <v>930</v>
      </c>
      <c r="H280" s="29" t="s">
        <v>1240</v>
      </c>
      <c r="I280" s="29"/>
      <c r="J280" s="29"/>
      <c r="K280" s="29"/>
      <c r="L280" s="57"/>
      <c r="M280" s="57"/>
      <c r="N280" s="57"/>
      <c r="O280" s="57"/>
      <c r="P280" s="57"/>
      <c r="Q280" s="57"/>
      <c r="R280" s="57"/>
      <c r="S280" s="57"/>
      <c r="T280" s="57"/>
      <c r="U280" s="57"/>
      <c r="V280" s="57"/>
      <c r="W280" s="57"/>
      <c r="X280" s="57"/>
      <c r="Y280" s="57"/>
      <c r="Z280" s="56"/>
    </row>
    <row r="281" customFormat="false" ht="45.75" hidden="false" customHeight="true" outlineLevel="0" collapsed="false">
      <c r="A281" s="22" t="s">
        <v>15</v>
      </c>
      <c r="B281" s="22" t="s">
        <v>1241</v>
      </c>
      <c r="C281" s="22" t="s">
        <v>1242</v>
      </c>
      <c r="D281" s="22" t="s">
        <v>1243</v>
      </c>
      <c r="E281" s="22"/>
      <c r="F281" s="22"/>
      <c r="G281" s="22" t="s">
        <v>1203</v>
      </c>
      <c r="H281" s="22" t="s">
        <v>1244</v>
      </c>
      <c r="I281" s="22" t="s">
        <v>1245</v>
      </c>
      <c r="J281" s="22"/>
      <c r="K281" s="22"/>
      <c r="L281" s="57"/>
      <c r="M281" s="57"/>
      <c r="N281" s="57"/>
      <c r="O281" s="57"/>
      <c r="P281" s="57"/>
      <c r="Q281" s="57"/>
      <c r="R281" s="57"/>
      <c r="S281" s="57"/>
      <c r="T281" s="57"/>
      <c r="U281" s="57"/>
      <c r="V281" s="57"/>
      <c r="W281" s="57"/>
      <c r="X281" s="57"/>
      <c r="Y281" s="57"/>
      <c r="Z281" s="56"/>
    </row>
    <row r="282" customFormat="false" ht="23.25" hidden="false" customHeight="true" outlineLevel="0" collapsed="false">
      <c r="A282" s="29" t="s">
        <v>15</v>
      </c>
      <c r="B282" s="29" t="s">
        <v>1246</v>
      </c>
      <c r="C282" s="29" t="s">
        <v>1247</v>
      </c>
      <c r="D282" s="29" t="s">
        <v>1248</v>
      </c>
      <c r="E282" s="29"/>
      <c r="F282" s="29"/>
      <c r="G282" s="29" t="s">
        <v>1203</v>
      </c>
      <c r="H282" s="29" t="s">
        <v>1249</v>
      </c>
      <c r="I282" s="29" t="s">
        <v>1250</v>
      </c>
      <c r="J282" s="29"/>
      <c r="K282" s="29"/>
      <c r="L282" s="57"/>
      <c r="M282" s="57"/>
      <c r="N282" s="57"/>
      <c r="O282" s="57"/>
      <c r="P282" s="57"/>
      <c r="Q282" s="57"/>
      <c r="R282" s="57"/>
      <c r="S282" s="57"/>
      <c r="T282" s="57"/>
      <c r="U282" s="57"/>
      <c r="V282" s="57"/>
      <c r="W282" s="57"/>
      <c r="X282" s="57"/>
      <c r="Y282" s="57"/>
      <c r="Z282" s="56"/>
    </row>
    <row r="283" customFormat="false" ht="23.25" hidden="false" customHeight="true" outlineLevel="0" collapsed="false">
      <c r="A283" s="22" t="s">
        <v>15</v>
      </c>
      <c r="B283" s="22" t="s">
        <v>1251</v>
      </c>
      <c r="C283" s="22" t="s">
        <v>1252</v>
      </c>
      <c r="D283" s="22" t="s">
        <v>1253</v>
      </c>
      <c r="E283" s="22"/>
      <c r="F283" s="22"/>
      <c r="G283" s="22" t="s">
        <v>1203</v>
      </c>
      <c r="H283" s="22" t="s">
        <v>1254</v>
      </c>
      <c r="I283" s="22" t="s">
        <v>248</v>
      </c>
      <c r="J283" s="22"/>
      <c r="K283" s="22"/>
      <c r="L283" s="57"/>
      <c r="M283" s="57"/>
      <c r="N283" s="57"/>
      <c r="O283" s="57"/>
      <c r="P283" s="57"/>
      <c r="Q283" s="57"/>
      <c r="R283" s="57"/>
      <c r="S283" s="57"/>
      <c r="T283" s="57"/>
      <c r="U283" s="57"/>
      <c r="V283" s="57"/>
      <c r="W283" s="57"/>
      <c r="X283" s="57"/>
      <c r="Y283" s="57"/>
      <c r="Z283" s="56"/>
    </row>
    <row r="284" customFormat="false" ht="23.25" hidden="false" customHeight="true" outlineLevel="0" collapsed="false">
      <c r="A284" s="29" t="s">
        <v>15</v>
      </c>
      <c r="B284" s="29" t="s">
        <v>1255</v>
      </c>
      <c r="C284" s="29" t="s">
        <v>1256</v>
      </c>
      <c r="D284" s="29" t="s">
        <v>1257</v>
      </c>
      <c r="E284" s="29"/>
      <c r="F284" s="29"/>
      <c r="G284" s="29"/>
      <c r="H284" s="29"/>
      <c r="I284" s="29"/>
      <c r="J284" s="29"/>
      <c r="K284" s="29"/>
      <c r="L284" s="57"/>
      <c r="M284" s="57"/>
      <c r="N284" s="57"/>
      <c r="O284" s="57"/>
      <c r="P284" s="57"/>
      <c r="Q284" s="57"/>
      <c r="R284" s="57"/>
      <c r="S284" s="57"/>
      <c r="T284" s="57"/>
      <c r="U284" s="57"/>
      <c r="V284" s="57"/>
      <c r="W284" s="57"/>
      <c r="X284" s="57"/>
      <c r="Y284" s="57"/>
      <c r="Z284" s="56"/>
    </row>
    <row r="285" customFormat="false" ht="23.25" hidden="false" customHeight="true" outlineLevel="0" collapsed="false">
      <c r="A285" s="22" t="s">
        <v>15</v>
      </c>
      <c r="B285" s="22" t="s">
        <v>1258</v>
      </c>
      <c r="C285" s="22" t="s">
        <v>1259</v>
      </c>
      <c r="D285" s="22" t="s">
        <v>258</v>
      </c>
      <c r="E285" s="22"/>
      <c r="F285" s="22"/>
      <c r="G285" s="22"/>
      <c r="H285" s="22" t="s">
        <v>1260</v>
      </c>
      <c r="I285" s="22" t="s">
        <v>319</v>
      </c>
      <c r="J285" s="22"/>
      <c r="K285" s="22"/>
      <c r="L285" s="56"/>
      <c r="M285" s="56"/>
      <c r="N285" s="56"/>
      <c r="O285" s="56"/>
      <c r="P285" s="56"/>
      <c r="Q285" s="56"/>
      <c r="R285" s="56"/>
      <c r="S285" s="56"/>
      <c r="T285" s="56"/>
      <c r="U285" s="56"/>
      <c r="V285" s="56"/>
      <c r="W285" s="56"/>
      <c r="X285" s="56"/>
      <c r="Y285" s="56"/>
      <c r="Z285" s="56"/>
    </row>
    <row r="286" customFormat="false" ht="15.75" hidden="false" customHeight="true" outlineLevel="0" collapsed="false">
      <c r="A286" s="29" t="s">
        <v>15</v>
      </c>
      <c r="B286" s="29" t="s">
        <v>1261</v>
      </c>
      <c r="C286" s="29" t="s">
        <v>1262</v>
      </c>
      <c r="D286" s="29"/>
      <c r="E286" s="29"/>
      <c r="F286" s="29"/>
      <c r="G286" s="29"/>
      <c r="H286" s="29" t="s">
        <v>1263</v>
      </c>
      <c r="I286" s="29" t="s">
        <v>1264</v>
      </c>
      <c r="J286" s="29"/>
      <c r="K286" s="29"/>
      <c r="L286" s="56"/>
      <c r="M286" s="56"/>
      <c r="N286" s="56"/>
      <c r="O286" s="56"/>
      <c r="P286" s="56"/>
      <c r="Q286" s="56"/>
      <c r="R286" s="56"/>
      <c r="S286" s="56"/>
      <c r="T286" s="56"/>
      <c r="U286" s="56"/>
      <c r="V286" s="56"/>
      <c r="W286" s="56"/>
      <c r="X286" s="56"/>
      <c r="Y286" s="56"/>
      <c r="Z286" s="56"/>
    </row>
    <row r="287" customFormat="false" ht="23.25" hidden="false" customHeight="true" outlineLevel="0" collapsed="false">
      <c r="A287" s="22" t="s">
        <v>15</v>
      </c>
      <c r="B287" s="22" t="s">
        <v>1265</v>
      </c>
      <c r="C287" s="22" t="s">
        <v>1266</v>
      </c>
      <c r="D287" s="22" t="s">
        <v>1267</v>
      </c>
      <c r="E287" s="22"/>
      <c r="F287" s="22"/>
      <c r="G287" s="22"/>
      <c r="H287" s="22" t="s">
        <v>1268</v>
      </c>
      <c r="I287" s="22" t="s">
        <v>1269</v>
      </c>
      <c r="J287" s="22"/>
      <c r="K287" s="22"/>
      <c r="L287" s="56"/>
      <c r="M287" s="56"/>
      <c r="N287" s="56"/>
      <c r="O287" s="56"/>
      <c r="P287" s="56"/>
      <c r="Q287" s="56"/>
      <c r="R287" s="56"/>
      <c r="S287" s="56"/>
      <c r="T287" s="56"/>
      <c r="U287" s="56"/>
      <c r="V287" s="56"/>
      <c r="W287" s="56"/>
      <c r="X287" s="56"/>
      <c r="Y287" s="56"/>
      <c r="Z287" s="56"/>
    </row>
    <row r="288" customFormat="false" ht="34.5" hidden="false" customHeight="true" outlineLevel="0" collapsed="false">
      <c r="A288" s="29" t="s">
        <v>15</v>
      </c>
      <c r="B288" s="29" t="s">
        <v>1270</v>
      </c>
      <c r="C288" s="29" t="s">
        <v>1271</v>
      </c>
      <c r="D288" s="29"/>
      <c r="E288" s="29"/>
      <c r="F288" s="29"/>
      <c r="G288" s="29"/>
      <c r="H288" s="29" t="s">
        <v>1272</v>
      </c>
      <c r="I288" s="29" t="s">
        <v>1273</v>
      </c>
      <c r="J288" s="29"/>
      <c r="K288" s="29"/>
      <c r="L288" s="56"/>
      <c r="M288" s="56"/>
      <c r="N288" s="56"/>
      <c r="O288" s="56"/>
      <c r="P288" s="56"/>
      <c r="Q288" s="56"/>
      <c r="R288" s="56"/>
      <c r="S288" s="56"/>
      <c r="T288" s="56"/>
      <c r="U288" s="56"/>
      <c r="V288" s="56"/>
      <c r="W288" s="56"/>
      <c r="X288" s="56"/>
      <c r="Y288" s="56"/>
      <c r="Z288" s="56"/>
    </row>
    <row r="289" customFormat="false" ht="23.25" hidden="false" customHeight="true" outlineLevel="0" collapsed="false">
      <c r="A289" s="22" t="s">
        <v>15</v>
      </c>
      <c r="B289" s="22" t="s">
        <v>1274</v>
      </c>
      <c r="C289" s="22" t="s">
        <v>1275</v>
      </c>
      <c r="D289" s="22"/>
      <c r="E289" s="22"/>
      <c r="F289" s="22"/>
      <c r="G289" s="22"/>
      <c r="H289" s="22" t="s">
        <v>1276</v>
      </c>
      <c r="I289" s="22" t="s">
        <v>1277</v>
      </c>
      <c r="J289" s="22"/>
      <c r="K289" s="22"/>
      <c r="L289" s="56"/>
      <c r="M289" s="56"/>
      <c r="N289" s="56"/>
      <c r="O289" s="56"/>
      <c r="P289" s="56"/>
      <c r="Q289" s="56"/>
      <c r="R289" s="56"/>
      <c r="S289" s="56"/>
      <c r="T289" s="56"/>
      <c r="U289" s="56"/>
      <c r="V289" s="56"/>
      <c r="W289" s="56"/>
      <c r="X289" s="56"/>
      <c r="Y289" s="56"/>
      <c r="Z289" s="56"/>
    </row>
    <row r="290" customFormat="false" ht="79.5" hidden="false" customHeight="true" outlineLevel="0" collapsed="false">
      <c r="A290" s="29" t="s">
        <v>15</v>
      </c>
      <c r="B290" s="29" t="s">
        <v>1278</v>
      </c>
      <c r="C290" s="29"/>
      <c r="D290" s="29" t="s">
        <v>1279</v>
      </c>
      <c r="E290" s="29"/>
      <c r="F290" s="29"/>
      <c r="G290" s="29"/>
      <c r="H290" s="29" t="s">
        <v>1280</v>
      </c>
      <c r="I290" s="29" t="s">
        <v>1281</v>
      </c>
      <c r="J290" s="29"/>
      <c r="K290" s="29"/>
      <c r="L290" s="56"/>
      <c r="M290" s="56"/>
      <c r="N290" s="56"/>
      <c r="O290" s="56"/>
      <c r="P290" s="56"/>
      <c r="Q290" s="56"/>
      <c r="R290" s="56"/>
      <c r="S290" s="56"/>
      <c r="T290" s="56"/>
      <c r="U290" s="56"/>
      <c r="V290" s="56"/>
      <c r="W290" s="56"/>
      <c r="X290" s="56"/>
      <c r="Y290" s="56"/>
      <c r="Z290" s="56"/>
    </row>
    <row r="291" customFormat="false" ht="23.25" hidden="false" customHeight="true" outlineLevel="0" collapsed="false">
      <c r="A291" s="22" t="s">
        <v>21</v>
      </c>
      <c r="B291" s="22" t="s">
        <v>1282</v>
      </c>
      <c r="C291" s="22" t="s">
        <v>1283</v>
      </c>
      <c r="D291" s="22" t="s">
        <v>1284</v>
      </c>
      <c r="E291" s="31" t="n">
        <v>45807</v>
      </c>
      <c r="F291" s="22" t="s">
        <v>213</v>
      </c>
      <c r="G291" s="22" t="s">
        <v>1285</v>
      </c>
      <c r="H291" s="22" t="s">
        <v>1286</v>
      </c>
      <c r="I291" s="22" t="s">
        <v>1287</v>
      </c>
      <c r="J291" s="22" t="s">
        <v>458</v>
      </c>
      <c r="K291" s="22"/>
      <c r="L291" s="58"/>
      <c r="M291" s="58"/>
      <c r="N291" s="58"/>
      <c r="O291" s="58"/>
      <c r="P291" s="58"/>
      <c r="Q291" s="58"/>
      <c r="R291" s="58"/>
      <c r="S291" s="58"/>
      <c r="T291" s="58"/>
      <c r="U291" s="58"/>
      <c r="V291" s="58"/>
      <c r="W291" s="58"/>
      <c r="X291" s="58"/>
      <c r="Y291" s="58"/>
      <c r="Z291" s="58"/>
    </row>
    <row r="292" customFormat="false" ht="57" hidden="false" customHeight="true" outlineLevel="0" collapsed="false">
      <c r="A292" s="27" t="s">
        <v>21</v>
      </c>
      <c r="B292" s="27" t="s">
        <v>1288</v>
      </c>
      <c r="C292" s="27" t="s">
        <v>1289</v>
      </c>
      <c r="D292" s="27"/>
      <c r="E292" s="28" t="n">
        <v>45802</v>
      </c>
      <c r="F292" s="27" t="s">
        <v>213</v>
      </c>
      <c r="G292" s="27" t="s">
        <v>1290</v>
      </c>
      <c r="H292" s="27" t="s">
        <v>1291</v>
      </c>
      <c r="I292" s="27" t="s">
        <v>1292</v>
      </c>
      <c r="J292" s="27" t="s">
        <v>217</v>
      </c>
      <c r="K292" s="27"/>
      <c r="L292" s="59"/>
      <c r="M292" s="59"/>
      <c r="N292" s="59"/>
      <c r="O292" s="59"/>
      <c r="P292" s="59"/>
      <c r="Q292" s="59"/>
      <c r="R292" s="59"/>
      <c r="S292" s="59"/>
      <c r="T292" s="59"/>
      <c r="U292" s="59"/>
      <c r="V292" s="59"/>
      <c r="W292" s="59"/>
      <c r="X292" s="59"/>
      <c r="Y292" s="59"/>
      <c r="Z292" s="59"/>
    </row>
    <row r="293" customFormat="false" ht="23.25" hidden="false" customHeight="true" outlineLevel="0" collapsed="false">
      <c r="A293" s="22" t="s">
        <v>21</v>
      </c>
      <c r="B293" s="22" t="s">
        <v>1293</v>
      </c>
      <c r="C293" s="22" t="s">
        <v>1294</v>
      </c>
      <c r="D293" s="22" t="s">
        <v>1295</v>
      </c>
      <c r="E293" s="31" t="n">
        <v>45802</v>
      </c>
      <c r="F293" s="22" t="s">
        <v>337</v>
      </c>
      <c r="G293" s="22"/>
      <c r="H293" s="22" t="s">
        <v>1296</v>
      </c>
      <c r="I293" s="22"/>
      <c r="J293" s="22" t="s">
        <v>236</v>
      </c>
      <c r="K293" s="22"/>
      <c r="L293" s="54"/>
      <c r="M293" s="54"/>
      <c r="N293" s="54"/>
      <c r="O293" s="54"/>
      <c r="P293" s="54"/>
      <c r="Q293" s="54"/>
      <c r="R293" s="54"/>
      <c r="S293" s="54"/>
      <c r="T293" s="54"/>
      <c r="U293" s="54"/>
      <c r="V293" s="54"/>
      <c r="W293" s="54"/>
      <c r="X293" s="54"/>
      <c r="Y293" s="54"/>
      <c r="Z293" s="54"/>
    </row>
    <row r="294" customFormat="false" ht="23.25" hidden="false" customHeight="true" outlineLevel="0" collapsed="false">
      <c r="A294" s="19" t="s">
        <v>21</v>
      </c>
      <c r="B294" s="33" t="s">
        <v>1297</v>
      </c>
      <c r="C294" s="33" t="s">
        <v>1298</v>
      </c>
      <c r="D294" s="29"/>
      <c r="E294" s="48" t="n">
        <v>45802</v>
      </c>
      <c r="F294" s="33" t="s">
        <v>213</v>
      </c>
      <c r="G294" s="33" t="s">
        <v>1299</v>
      </c>
      <c r="H294" s="33" t="s">
        <v>1300</v>
      </c>
      <c r="I294" s="33" t="s">
        <v>1301</v>
      </c>
      <c r="J294" s="33" t="s">
        <v>236</v>
      </c>
      <c r="K294" s="33"/>
      <c r="L294" s="54"/>
      <c r="M294" s="54"/>
      <c r="N294" s="54"/>
      <c r="O294" s="54"/>
      <c r="P294" s="54"/>
      <c r="Q294" s="54"/>
      <c r="R294" s="54"/>
      <c r="S294" s="54"/>
      <c r="T294" s="54"/>
      <c r="U294" s="54"/>
      <c r="V294" s="54"/>
      <c r="W294" s="54"/>
      <c r="X294" s="54"/>
      <c r="Y294" s="54"/>
      <c r="Z294" s="54"/>
    </row>
    <row r="295" customFormat="false" ht="23.25" hidden="false" customHeight="true" outlineLevel="0" collapsed="false">
      <c r="A295" s="22" t="s">
        <v>21</v>
      </c>
      <c r="B295" s="22" t="s">
        <v>1302</v>
      </c>
      <c r="C295" s="22" t="s">
        <v>1303</v>
      </c>
      <c r="D295" s="22"/>
      <c r="E295" s="31" t="n">
        <v>45802</v>
      </c>
      <c r="F295" s="22" t="s">
        <v>252</v>
      </c>
      <c r="G295" s="22" t="s">
        <v>1304</v>
      </c>
      <c r="H295" s="22"/>
      <c r="I295" s="22"/>
      <c r="J295" s="22"/>
      <c r="K295" s="22"/>
      <c r="L295" s="54"/>
      <c r="M295" s="54"/>
      <c r="N295" s="54"/>
      <c r="O295" s="54"/>
      <c r="P295" s="54"/>
      <c r="Q295" s="54"/>
      <c r="R295" s="54"/>
      <c r="S295" s="54"/>
      <c r="T295" s="54"/>
      <c r="U295" s="54"/>
      <c r="V295" s="54"/>
      <c r="W295" s="54"/>
      <c r="X295" s="54"/>
      <c r="Y295" s="54"/>
      <c r="Z295" s="54"/>
    </row>
    <row r="296" customFormat="false" ht="23.25" hidden="false" customHeight="true" outlineLevel="0" collapsed="false">
      <c r="A296" s="19" t="s">
        <v>21</v>
      </c>
      <c r="B296" s="33" t="s">
        <v>1305</v>
      </c>
      <c r="C296" s="33" t="s">
        <v>1306</v>
      </c>
      <c r="D296" s="29" t="s">
        <v>1307</v>
      </c>
      <c r="E296" s="48" t="n">
        <v>45802</v>
      </c>
      <c r="F296" s="33" t="s">
        <v>397</v>
      </c>
      <c r="G296" s="33" t="s">
        <v>1308</v>
      </c>
      <c r="H296" s="33"/>
      <c r="I296" s="33"/>
      <c r="J296" s="33" t="s">
        <v>236</v>
      </c>
      <c r="K296" s="33"/>
      <c r="L296" s="54"/>
      <c r="M296" s="54"/>
      <c r="N296" s="54"/>
      <c r="O296" s="54"/>
      <c r="P296" s="54"/>
      <c r="Q296" s="54"/>
      <c r="R296" s="54"/>
      <c r="S296" s="54"/>
      <c r="T296" s="54"/>
      <c r="U296" s="54"/>
      <c r="V296" s="54"/>
      <c r="W296" s="54"/>
      <c r="X296" s="54"/>
      <c r="Y296" s="54"/>
      <c r="Z296" s="54"/>
    </row>
    <row r="297" customFormat="false" ht="23.25" hidden="false" customHeight="true" outlineLevel="0" collapsed="false">
      <c r="A297" s="22" t="s">
        <v>21</v>
      </c>
      <c r="B297" s="22" t="s">
        <v>1309</v>
      </c>
      <c r="C297" s="22" t="s">
        <v>244</v>
      </c>
      <c r="D297" s="22" t="s">
        <v>1310</v>
      </c>
      <c r="E297" s="31" t="n">
        <v>45802</v>
      </c>
      <c r="F297" s="22" t="s">
        <v>213</v>
      </c>
      <c r="G297" s="22" t="s">
        <v>1311</v>
      </c>
      <c r="H297" s="22"/>
      <c r="I297" s="22"/>
      <c r="J297" s="22" t="s">
        <v>236</v>
      </c>
      <c r="K297" s="22"/>
      <c r="L297" s="54"/>
      <c r="M297" s="54"/>
      <c r="N297" s="54"/>
      <c r="O297" s="54"/>
      <c r="P297" s="54"/>
      <c r="Q297" s="54"/>
      <c r="R297" s="54"/>
      <c r="S297" s="54"/>
      <c r="T297" s="54"/>
      <c r="U297" s="54"/>
      <c r="V297" s="54"/>
      <c r="W297" s="54"/>
      <c r="X297" s="54"/>
      <c r="Y297" s="54"/>
      <c r="Z297" s="54"/>
    </row>
    <row r="298" customFormat="false" ht="23.25" hidden="false" customHeight="true" outlineLevel="0" collapsed="false">
      <c r="A298" s="19" t="s">
        <v>21</v>
      </c>
      <c r="B298" s="29" t="s">
        <v>1312</v>
      </c>
      <c r="C298" s="29" t="s">
        <v>1313</v>
      </c>
      <c r="D298" s="29" t="s">
        <v>1314</v>
      </c>
      <c r="E298" s="32" t="n">
        <v>45813</v>
      </c>
      <c r="F298" s="29" t="s">
        <v>213</v>
      </c>
      <c r="G298" s="29"/>
      <c r="H298" s="29" t="s">
        <v>1315</v>
      </c>
      <c r="I298" s="29" t="s">
        <v>361</v>
      </c>
      <c r="J298" s="33" t="s">
        <v>236</v>
      </c>
      <c r="K298" s="33"/>
      <c r="L298" s="54"/>
      <c r="M298" s="54"/>
      <c r="N298" s="54"/>
      <c r="O298" s="54"/>
      <c r="P298" s="54"/>
      <c r="Q298" s="54"/>
      <c r="R298" s="54"/>
      <c r="S298" s="54"/>
      <c r="T298" s="54"/>
      <c r="U298" s="54"/>
      <c r="V298" s="54"/>
      <c r="W298" s="54"/>
      <c r="X298" s="54"/>
      <c r="Y298" s="54"/>
      <c r="Z298" s="54"/>
    </row>
    <row r="299" customFormat="false" ht="23.25" hidden="false" customHeight="true" outlineLevel="0" collapsed="false">
      <c r="A299" s="22" t="s">
        <v>18</v>
      </c>
      <c r="B299" s="22" t="s">
        <v>1316</v>
      </c>
      <c r="C299" s="22" t="s">
        <v>1317</v>
      </c>
      <c r="D299" s="22"/>
      <c r="E299" s="31"/>
      <c r="F299" s="22"/>
      <c r="G299" s="22" t="s">
        <v>1318</v>
      </c>
      <c r="H299" s="22" t="s">
        <v>1319</v>
      </c>
      <c r="I299" s="22" t="n">
        <v>644</v>
      </c>
      <c r="J299" s="22"/>
      <c r="K299" s="22"/>
      <c r="L299" s="54"/>
      <c r="M299" s="54"/>
      <c r="N299" s="54"/>
      <c r="O299" s="54"/>
      <c r="P299" s="54"/>
      <c r="Q299" s="54"/>
      <c r="R299" s="54"/>
      <c r="S299" s="54"/>
      <c r="T299" s="54"/>
      <c r="U299" s="54"/>
      <c r="V299" s="54"/>
      <c r="W299" s="54"/>
      <c r="X299" s="54"/>
      <c r="Y299" s="54"/>
      <c r="Z299" s="54"/>
    </row>
    <row r="300" customFormat="false" ht="15.75" hidden="false" customHeight="true" outlineLevel="0" collapsed="false">
      <c r="A300" s="29" t="s">
        <v>18</v>
      </c>
      <c r="B300" s="29" t="s">
        <v>1320</v>
      </c>
      <c r="C300" s="29" t="s">
        <v>1321</v>
      </c>
      <c r="D300" s="29"/>
      <c r="E300" s="32"/>
      <c r="F300" s="29"/>
      <c r="G300" s="29" t="s">
        <v>1318</v>
      </c>
      <c r="H300" s="29" t="s">
        <v>1322</v>
      </c>
      <c r="I300" s="29" t="s">
        <v>1323</v>
      </c>
      <c r="J300" s="19"/>
      <c r="K300" s="19"/>
      <c r="L300" s="54"/>
      <c r="M300" s="54"/>
      <c r="N300" s="54"/>
      <c r="O300" s="54"/>
      <c r="P300" s="54"/>
      <c r="Q300" s="54"/>
      <c r="R300" s="54"/>
      <c r="S300" s="54"/>
      <c r="T300" s="54"/>
      <c r="U300" s="54"/>
      <c r="V300" s="54"/>
      <c r="W300" s="54"/>
      <c r="X300" s="54"/>
      <c r="Y300" s="54"/>
      <c r="Z300" s="54"/>
    </row>
    <row r="301" customFormat="false" ht="15.75" hidden="false" customHeight="true" outlineLevel="0" collapsed="false">
      <c r="A301" s="22" t="s">
        <v>18</v>
      </c>
      <c r="B301" s="22" t="s">
        <v>1324</v>
      </c>
      <c r="C301" s="22" t="s">
        <v>1325</v>
      </c>
      <c r="D301" s="22" t="s">
        <v>1326</v>
      </c>
      <c r="E301" s="31"/>
      <c r="F301" s="22"/>
      <c r="G301" s="22"/>
      <c r="H301" s="22" t="s">
        <v>1327</v>
      </c>
      <c r="I301" s="22" t="s">
        <v>1328</v>
      </c>
      <c r="J301" s="22"/>
      <c r="K301" s="22"/>
      <c r="L301" s="54"/>
      <c r="M301" s="54"/>
      <c r="N301" s="54"/>
      <c r="O301" s="54"/>
      <c r="P301" s="54"/>
      <c r="Q301" s="54"/>
      <c r="R301" s="54"/>
      <c r="S301" s="54"/>
      <c r="T301" s="54"/>
      <c r="U301" s="54"/>
      <c r="V301" s="54"/>
      <c r="W301" s="54"/>
      <c r="X301" s="54"/>
      <c r="Y301" s="54"/>
      <c r="Z301" s="54"/>
    </row>
    <row r="302" customFormat="false" ht="15.75" hidden="false" customHeight="true" outlineLevel="0" collapsed="false">
      <c r="A302" s="29" t="s">
        <v>18</v>
      </c>
      <c r="B302" s="29" t="s">
        <v>1329</v>
      </c>
      <c r="C302" s="29" t="s">
        <v>1330</v>
      </c>
      <c r="D302" s="29"/>
      <c r="E302" s="32"/>
      <c r="F302" s="29"/>
      <c r="G302" s="29" t="s">
        <v>1318</v>
      </c>
      <c r="H302" s="29"/>
      <c r="I302" s="29" t="s">
        <v>1331</v>
      </c>
      <c r="J302" s="19"/>
      <c r="K302" s="19"/>
      <c r="L302" s="54"/>
      <c r="M302" s="54"/>
      <c r="N302" s="54"/>
      <c r="O302" s="54"/>
      <c r="P302" s="54"/>
      <c r="Q302" s="54"/>
      <c r="R302" s="54"/>
      <c r="S302" s="54"/>
      <c r="T302" s="54"/>
      <c r="U302" s="54"/>
      <c r="V302" s="54"/>
      <c r="W302" s="54"/>
      <c r="X302" s="54"/>
      <c r="Y302" s="54"/>
      <c r="Z302" s="54"/>
    </row>
    <row r="303" customFormat="false" ht="34.5" hidden="false" customHeight="true" outlineLevel="0" collapsed="false">
      <c r="A303" s="22" t="s">
        <v>18</v>
      </c>
      <c r="B303" s="22" t="s">
        <v>1332</v>
      </c>
      <c r="C303" s="22" t="s">
        <v>1333</v>
      </c>
      <c r="D303" s="22" t="s">
        <v>1334</v>
      </c>
      <c r="E303" s="31"/>
      <c r="F303" s="22"/>
      <c r="G303" s="22" t="s">
        <v>1335</v>
      </c>
      <c r="H303" s="22" t="s">
        <v>1336</v>
      </c>
      <c r="I303" s="22"/>
      <c r="J303" s="22"/>
      <c r="K303" s="22"/>
      <c r="L303" s="54"/>
      <c r="M303" s="54"/>
      <c r="N303" s="54"/>
      <c r="O303" s="54"/>
      <c r="P303" s="54"/>
      <c r="Q303" s="54"/>
      <c r="R303" s="54"/>
      <c r="S303" s="54"/>
      <c r="T303" s="54"/>
      <c r="U303" s="54"/>
      <c r="V303" s="54"/>
      <c r="W303" s="54"/>
      <c r="X303" s="54"/>
      <c r="Y303" s="54"/>
      <c r="Z303" s="54"/>
    </row>
    <row r="304" customFormat="false" ht="15.75" hidden="false" customHeight="true" outlineLevel="0" collapsed="false">
      <c r="A304" s="29" t="s">
        <v>18</v>
      </c>
      <c r="B304" s="29" t="s">
        <v>1337</v>
      </c>
      <c r="C304" s="29" t="s">
        <v>1338</v>
      </c>
      <c r="D304" s="29"/>
      <c r="E304" s="32"/>
      <c r="F304" s="29"/>
      <c r="G304" s="29" t="s">
        <v>1318</v>
      </c>
      <c r="H304" s="29" t="s">
        <v>1339</v>
      </c>
      <c r="I304" s="29" t="s">
        <v>1340</v>
      </c>
      <c r="J304" s="19"/>
      <c r="K304" s="19"/>
      <c r="L304" s="54"/>
      <c r="M304" s="54"/>
      <c r="N304" s="54"/>
      <c r="O304" s="54"/>
      <c r="P304" s="54"/>
      <c r="Q304" s="54"/>
      <c r="R304" s="54"/>
      <c r="S304" s="54"/>
      <c r="T304" s="54"/>
      <c r="U304" s="54"/>
      <c r="V304" s="54"/>
      <c r="W304" s="54"/>
      <c r="X304" s="54"/>
      <c r="Y304" s="54"/>
      <c r="Z304" s="54"/>
    </row>
    <row r="305" customFormat="false" ht="23.25" hidden="false" customHeight="true" outlineLevel="0" collapsed="false">
      <c r="A305" s="22" t="s">
        <v>18</v>
      </c>
      <c r="B305" s="22" t="s">
        <v>1341</v>
      </c>
      <c r="C305" s="22" t="s">
        <v>1342</v>
      </c>
      <c r="D305" s="22" t="s">
        <v>1343</v>
      </c>
      <c r="E305" s="31"/>
      <c r="F305" s="22"/>
      <c r="G305" s="22" t="s">
        <v>1344</v>
      </c>
      <c r="H305" s="22" t="s">
        <v>1345</v>
      </c>
      <c r="I305" s="22"/>
      <c r="J305" s="22"/>
      <c r="K305" s="22"/>
      <c r="L305" s="54"/>
      <c r="M305" s="54"/>
      <c r="N305" s="54"/>
      <c r="O305" s="54"/>
      <c r="P305" s="54"/>
      <c r="Q305" s="54"/>
      <c r="R305" s="54"/>
      <c r="S305" s="54"/>
      <c r="T305" s="54"/>
      <c r="U305" s="54"/>
      <c r="V305" s="54"/>
      <c r="W305" s="54"/>
      <c r="X305" s="54"/>
      <c r="Y305" s="54"/>
      <c r="Z305" s="54"/>
    </row>
    <row r="306" customFormat="false" ht="23.25" hidden="false" customHeight="true" outlineLevel="0" collapsed="false">
      <c r="A306" s="29" t="s">
        <v>18</v>
      </c>
      <c r="B306" s="29" t="s">
        <v>1346</v>
      </c>
      <c r="C306" s="29" t="s">
        <v>1347</v>
      </c>
      <c r="D306" s="29"/>
      <c r="E306" s="32"/>
      <c r="F306" s="29"/>
      <c r="G306" s="29" t="s">
        <v>1344</v>
      </c>
      <c r="H306" s="29"/>
      <c r="I306" s="29" t="s">
        <v>1348</v>
      </c>
      <c r="J306" s="19"/>
      <c r="K306" s="19"/>
      <c r="L306" s="54"/>
      <c r="M306" s="54"/>
      <c r="N306" s="54"/>
      <c r="O306" s="54"/>
      <c r="P306" s="54"/>
      <c r="Q306" s="54"/>
      <c r="R306" s="54"/>
      <c r="S306" s="54"/>
      <c r="T306" s="54"/>
      <c r="U306" s="54"/>
      <c r="V306" s="54"/>
      <c r="W306" s="54"/>
      <c r="X306" s="54"/>
      <c r="Y306" s="54"/>
      <c r="Z306" s="54"/>
    </row>
    <row r="307" customFormat="false" ht="34.5" hidden="false" customHeight="true" outlineLevel="0" collapsed="false">
      <c r="A307" s="22" t="s">
        <v>18</v>
      </c>
      <c r="B307" s="22" t="s">
        <v>1349</v>
      </c>
      <c r="C307" s="22" t="s">
        <v>1350</v>
      </c>
      <c r="D307" s="22"/>
      <c r="E307" s="31"/>
      <c r="F307" s="22"/>
      <c r="G307" s="22" t="s">
        <v>1351</v>
      </c>
      <c r="H307" s="22"/>
      <c r="I307" s="22"/>
      <c r="J307" s="22"/>
      <c r="K307" s="22"/>
      <c r="L307" s="54"/>
      <c r="M307" s="54"/>
      <c r="N307" s="54"/>
      <c r="O307" s="54"/>
      <c r="P307" s="54"/>
      <c r="Q307" s="54"/>
      <c r="R307" s="54"/>
      <c r="S307" s="54"/>
      <c r="T307" s="54"/>
      <c r="U307" s="54"/>
      <c r="V307" s="54"/>
      <c r="W307" s="54"/>
      <c r="X307" s="54"/>
      <c r="Y307" s="54"/>
      <c r="Z307" s="54"/>
    </row>
    <row r="308" customFormat="false" ht="23.25" hidden="false" customHeight="true" outlineLevel="0" collapsed="false">
      <c r="A308" s="29" t="s">
        <v>18</v>
      </c>
      <c r="B308" s="29" t="s">
        <v>1352</v>
      </c>
      <c r="C308" s="29" t="s">
        <v>1353</v>
      </c>
      <c r="D308" s="29"/>
      <c r="E308" s="32"/>
      <c r="F308" s="29"/>
      <c r="G308" s="29"/>
      <c r="H308" s="29"/>
      <c r="I308" s="29"/>
      <c r="J308" s="29"/>
      <c r="K308" s="19"/>
      <c r="L308" s="54"/>
      <c r="M308" s="54"/>
      <c r="N308" s="54"/>
      <c r="O308" s="54"/>
      <c r="P308" s="54"/>
      <c r="Q308" s="54"/>
      <c r="R308" s="54"/>
      <c r="S308" s="54"/>
      <c r="T308" s="54"/>
      <c r="U308" s="54"/>
      <c r="V308" s="54"/>
      <c r="W308" s="54"/>
      <c r="X308" s="54"/>
      <c r="Y308" s="54"/>
      <c r="Z308" s="54"/>
    </row>
    <row r="309" customFormat="false" ht="90.75" hidden="false" customHeight="true" outlineLevel="0" collapsed="false">
      <c r="A309" s="22" t="s">
        <v>18</v>
      </c>
      <c r="B309" s="22" t="s">
        <v>1354</v>
      </c>
      <c r="C309" s="22" t="s">
        <v>1355</v>
      </c>
      <c r="D309" s="22"/>
      <c r="E309" s="31"/>
      <c r="F309" s="22"/>
      <c r="G309" s="22"/>
      <c r="H309" s="22"/>
      <c r="I309" s="22"/>
      <c r="J309" s="22"/>
      <c r="K309" s="22"/>
      <c r="L309" s="30"/>
      <c r="M309" s="30"/>
      <c r="N309" s="30"/>
      <c r="O309" s="30"/>
      <c r="P309" s="30"/>
      <c r="Q309" s="30"/>
      <c r="R309" s="30"/>
      <c r="S309" s="30"/>
      <c r="T309" s="30"/>
      <c r="U309" s="30"/>
      <c r="V309" s="30"/>
      <c r="W309" s="30"/>
      <c r="X309" s="30"/>
      <c r="Y309" s="30"/>
      <c r="Z309" s="30"/>
    </row>
    <row r="310" customFormat="false" ht="68.25" hidden="false" customHeight="true" outlineLevel="0" collapsed="false">
      <c r="A310" s="29" t="s">
        <v>18</v>
      </c>
      <c r="B310" s="29" t="s">
        <v>1356</v>
      </c>
      <c r="C310" s="29" t="s">
        <v>1357</v>
      </c>
      <c r="D310" s="29" t="s">
        <v>1358</v>
      </c>
      <c r="E310" s="32"/>
      <c r="F310" s="29"/>
      <c r="G310" s="29"/>
      <c r="H310" s="29" t="s">
        <v>1359</v>
      </c>
      <c r="I310" s="29" t="s">
        <v>1360</v>
      </c>
      <c r="J310" s="29"/>
      <c r="K310" s="19"/>
    </row>
    <row r="311" customFormat="false" ht="23.25" hidden="false" customHeight="true" outlineLevel="0" collapsed="false">
      <c r="A311" s="22" t="s">
        <v>18</v>
      </c>
      <c r="B311" s="22" t="s">
        <v>1361</v>
      </c>
      <c r="C311" s="22" t="s">
        <v>1362</v>
      </c>
      <c r="D311" s="22" t="s">
        <v>1363</v>
      </c>
      <c r="E311" s="31"/>
      <c r="F311" s="22"/>
      <c r="G311" s="22"/>
      <c r="H311" s="22" t="s">
        <v>1364</v>
      </c>
      <c r="I311" s="22" t="s">
        <v>1365</v>
      </c>
      <c r="J311" s="22"/>
      <c r="K311" s="22"/>
    </row>
    <row r="312" customFormat="false" ht="90.75" hidden="false" customHeight="true" outlineLevel="0" collapsed="false">
      <c r="A312" s="29" t="s">
        <v>18</v>
      </c>
      <c r="B312" s="19" t="s">
        <v>1366</v>
      </c>
      <c r="C312" s="29" t="s">
        <v>1367</v>
      </c>
      <c r="D312" s="29" t="s">
        <v>1368</v>
      </c>
      <c r="E312" s="32"/>
      <c r="F312" s="29"/>
      <c r="G312" s="29"/>
      <c r="H312" s="29" t="s">
        <v>1369</v>
      </c>
      <c r="I312" s="29" t="s">
        <v>1370</v>
      </c>
      <c r="J312" s="29"/>
      <c r="K312" s="19"/>
    </row>
    <row r="313" customFormat="false" ht="45.75" hidden="false" customHeight="true" outlineLevel="0" collapsed="false">
      <c r="A313" s="22" t="s">
        <v>18</v>
      </c>
      <c r="B313" s="22" t="s">
        <v>1371</v>
      </c>
      <c r="C313" s="22" t="s">
        <v>1372</v>
      </c>
      <c r="D313" s="22" t="s">
        <v>1373</v>
      </c>
      <c r="E313" s="31"/>
      <c r="F313" s="22"/>
      <c r="G313" s="22"/>
      <c r="H313" s="22" t="s">
        <v>1374</v>
      </c>
      <c r="I313" s="22" t="s">
        <v>1375</v>
      </c>
      <c r="J313" s="22"/>
      <c r="K313" s="22"/>
    </row>
    <row r="314" customFormat="false" ht="68.25" hidden="false" customHeight="true" outlineLevel="0" collapsed="false">
      <c r="A314" s="19" t="s">
        <v>18</v>
      </c>
      <c r="B314" s="19" t="s">
        <v>1376</v>
      </c>
      <c r="C314" s="19" t="s">
        <v>1377</v>
      </c>
      <c r="D314" s="19" t="s">
        <v>1378</v>
      </c>
      <c r="E314" s="39"/>
      <c r="F314" s="19"/>
      <c r="G314" s="19"/>
      <c r="H314" s="19" t="s">
        <v>1379</v>
      </c>
      <c r="I314" s="19" t="s">
        <v>1380</v>
      </c>
      <c r="J314" s="19"/>
      <c r="K314" s="19"/>
    </row>
    <row r="315" customFormat="false" ht="34.5" hidden="false" customHeight="true" outlineLevel="0" collapsed="false">
      <c r="A315" s="22" t="s">
        <v>18</v>
      </c>
      <c r="B315" s="22" t="s">
        <v>1381</v>
      </c>
      <c r="C315" s="22" t="s">
        <v>1382</v>
      </c>
      <c r="D315" s="22" t="s">
        <v>1383</v>
      </c>
      <c r="E315" s="31"/>
      <c r="F315" s="22"/>
      <c r="G315" s="22"/>
      <c r="H315" s="22" t="s">
        <v>1384</v>
      </c>
      <c r="I315" s="22"/>
      <c r="J315" s="22"/>
      <c r="K315" s="22"/>
    </row>
    <row r="316" customFormat="false" ht="57" hidden="false" customHeight="true" outlineLevel="0" collapsed="false">
      <c r="A316" s="19" t="s">
        <v>18</v>
      </c>
      <c r="B316" s="19" t="s">
        <v>1385</v>
      </c>
      <c r="C316" s="19" t="s">
        <v>1386</v>
      </c>
      <c r="D316" s="19" t="s">
        <v>1387</v>
      </c>
      <c r="E316" s="39"/>
      <c r="F316" s="19"/>
      <c r="G316" s="19"/>
      <c r="H316" s="19" t="s">
        <v>1388</v>
      </c>
      <c r="I316" s="19" t="s">
        <v>1389</v>
      </c>
      <c r="J316" s="19"/>
      <c r="K316" s="19"/>
    </row>
    <row r="317" customFormat="false" ht="15.75" hidden="false" customHeight="true" outlineLevel="0" collapsed="false">
      <c r="A317" s="22" t="s">
        <v>18</v>
      </c>
      <c r="B317" s="22" t="s">
        <v>1390</v>
      </c>
      <c r="C317" s="22" t="s">
        <v>1391</v>
      </c>
      <c r="D317" s="22"/>
      <c r="E317" s="31"/>
      <c r="F317" s="22"/>
      <c r="G317" s="22"/>
      <c r="H317" s="22"/>
      <c r="I317" s="22"/>
      <c r="J317" s="22"/>
      <c r="K317" s="22"/>
    </row>
    <row r="318" customFormat="false" ht="15.75" hidden="false" customHeight="true" outlineLevel="0" collapsed="false">
      <c r="A318" s="19" t="s">
        <v>18</v>
      </c>
      <c r="B318" s="19" t="s">
        <v>1392</v>
      </c>
      <c r="C318" s="19" t="s">
        <v>1393</v>
      </c>
      <c r="D318" s="19"/>
      <c r="E318" s="39"/>
      <c r="F318" s="19"/>
      <c r="G318" s="19"/>
      <c r="H318" s="19"/>
      <c r="I318" s="19"/>
      <c r="J318" s="19"/>
      <c r="K318" s="19"/>
    </row>
    <row r="319" customFormat="false" ht="23.25" hidden="false" customHeight="true" outlineLevel="0" collapsed="false">
      <c r="A319" s="22" t="s">
        <v>18</v>
      </c>
      <c r="B319" s="22" t="s">
        <v>1394</v>
      </c>
      <c r="C319" s="22" t="s">
        <v>1395</v>
      </c>
      <c r="D319" s="22"/>
      <c r="E319" s="31"/>
      <c r="F319" s="22"/>
      <c r="G319" s="22"/>
      <c r="H319" s="22"/>
      <c r="I319" s="22"/>
      <c r="J319" s="22"/>
      <c r="K319" s="22"/>
    </row>
    <row r="320" customFormat="false" ht="45.75" hidden="false" customHeight="true" outlineLevel="0" collapsed="false">
      <c r="A320" s="19" t="s">
        <v>18</v>
      </c>
      <c r="B320" s="19" t="s">
        <v>1396</v>
      </c>
      <c r="C320" s="19" t="s">
        <v>1397</v>
      </c>
      <c r="D320" s="19" t="s">
        <v>1398</v>
      </c>
      <c r="E320" s="39"/>
      <c r="F320" s="19"/>
      <c r="G320" s="19"/>
      <c r="H320" s="19"/>
      <c r="I320" s="19"/>
      <c r="J320" s="19"/>
      <c r="K320" s="19"/>
    </row>
    <row r="321" customFormat="false" ht="23.25" hidden="false" customHeight="true" outlineLevel="0" collapsed="false">
      <c r="A321" s="22" t="s">
        <v>18</v>
      </c>
      <c r="B321" s="22" t="s">
        <v>1399</v>
      </c>
      <c r="C321" s="22" t="s">
        <v>1400</v>
      </c>
      <c r="D321" s="22" t="s">
        <v>1401</v>
      </c>
      <c r="E321" s="31"/>
      <c r="F321" s="22"/>
      <c r="G321" s="22"/>
      <c r="H321" s="22" t="s">
        <v>1402</v>
      </c>
      <c r="I321" s="22" t="s">
        <v>1403</v>
      </c>
      <c r="J321" s="22"/>
      <c r="K321" s="22"/>
    </row>
    <row r="322" customFormat="false" ht="57" hidden="false" customHeight="true" outlineLevel="0" collapsed="false">
      <c r="A322" s="19" t="s">
        <v>18</v>
      </c>
      <c r="B322" s="19" t="s">
        <v>1404</v>
      </c>
      <c r="C322" s="19" t="s">
        <v>1405</v>
      </c>
      <c r="D322" s="19" t="s">
        <v>1406</v>
      </c>
      <c r="E322" s="39"/>
      <c r="F322" s="19"/>
      <c r="G322" s="19"/>
      <c r="H322" s="19" t="s">
        <v>1407</v>
      </c>
      <c r="I322" s="19" t="s">
        <v>1245</v>
      </c>
      <c r="J322" s="19"/>
      <c r="K322" s="19"/>
    </row>
    <row r="323" customFormat="false" ht="23.25" hidden="false" customHeight="true" outlineLevel="0" collapsed="false">
      <c r="A323" s="22" t="s">
        <v>18</v>
      </c>
      <c r="B323" s="22" t="s">
        <v>1408</v>
      </c>
      <c r="C323" s="22" t="s">
        <v>1409</v>
      </c>
      <c r="D323" s="22" t="s">
        <v>1410</v>
      </c>
      <c r="E323" s="31" t="n">
        <v>45959</v>
      </c>
      <c r="F323" s="22" t="s">
        <v>240</v>
      </c>
      <c r="G323" s="31"/>
      <c r="H323" s="22" t="s">
        <v>1411</v>
      </c>
      <c r="I323" s="22" t="s">
        <v>1412</v>
      </c>
      <c r="J323" s="22"/>
      <c r="K323" s="22"/>
    </row>
    <row r="324" customFormat="false" ht="34.5" hidden="false" customHeight="true" outlineLevel="0" collapsed="false">
      <c r="A324" s="19" t="s">
        <v>18</v>
      </c>
      <c r="B324" s="19" t="s">
        <v>1413</v>
      </c>
      <c r="C324" s="19" t="s">
        <v>1414</v>
      </c>
      <c r="D324" s="19"/>
      <c r="E324" s="39"/>
      <c r="F324" s="19"/>
      <c r="G324" s="39"/>
      <c r="H324" s="19"/>
      <c r="I324" s="19"/>
      <c r="J324" s="19"/>
      <c r="K324" s="19"/>
    </row>
    <row r="325" customFormat="false" ht="15.75" hidden="false" customHeight="true" outlineLevel="0" collapsed="false">
      <c r="A325" s="22" t="s">
        <v>18</v>
      </c>
      <c r="B325" s="22" t="s">
        <v>1415</v>
      </c>
      <c r="C325" s="22" t="s">
        <v>1416</v>
      </c>
      <c r="D325" s="22"/>
      <c r="E325" s="31"/>
      <c r="F325" s="22" t="s">
        <v>240</v>
      </c>
      <c r="G325" s="31"/>
      <c r="H325" s="22" t="s">
        <v>1417</v>
      </c>
      <c r="I325" s="22"/>
      <c r="J325" s="22"/>
      <c r="K325" s="22"/>
    </row>
    <row r="326" customFormat="false" ht="15.75" hidden="false" customHeight="true" outlineLevel="0" collapsed="false">
      <c r="A326" s="19" t="s">
        <v>18</v>
      </c>
      <c r="B326" s="19" t="s">
        <v>1418</v>
      </c>
      <c r="C326" s="19" t="s">
        <v>1416</v>
      </c>
      <c r="D326" s="19"/>
      <c r="E326" s="39"/>
      <c r="F326" s="19" t="s">
        <v>240</v>
      </c>
      <c r="G326" s="39"/>
      <c r="H326" s="19" t="s">
        <v>1419</v>
      </c>
      <c r="I326" s="19" t="s">
        <v>1420</v>
      </c>
      <c r="J326" s="19"/>
      <c r="K326" s="19"/>
    </row>
    <row r="327" customFormat="false" ht="23.25" hidden="false" customHeight="true" outlineLevel="0" collapsed="false">
      <c r="A327" s="22" t="s">
        <v>18</v>
      </c>
      <c r="B327" s="22" t="s">
        <v>1421</v>
      </c>
      <c r="C327" s="22" t="s">
        <v>1416</v>
      </c>
      <c r="D327" s="22"/>
      <c r="E327" s="31"/>
      <c r="F327" s="22" t="s">
        <v>240</v>
      </c>
      <c r="G327" s="31"/>
      <c r="H327" s="22" t="s">
        <v>1422</v>
      </c>
      <c r="I327" s="22" t="s">
        <v>1423</v>
      </c>
      <c r="J327" s="22"/>
      <c r="K327" s="22"/>
    </row>
    <row r="328" customFormat="false" ht="23.25" hidden="false" customHeight="true" outlineLevel="0" collapsed="false">
      <c r="A328" s="19" t="s">
        <v>18</v>
      </c>
      <c r="B328" s="19" t="s">
        <v>1424</v>
      </c>
      <c r="C328" s="19" t="s">
        <v>1425</v>
      </c>
      <c r="D328" s="19"/>
      <c r="E328" s="39"/>
      <c r="F328" s="19" t="s">
        <v>240</v>
      </c>
      <c r="G328" s="39"/>
      <c r="H328" s="19" t="s">
        <v>1426</v>
      </c>
      <c r="I328" s="19" t="s">
        <v>1427</v>
      </c>
      <c r="J328" s="19"/>
      <c r="K328" s="19"/>
    </row>
    <row r="329" customFormat="false" ht="15.75" hidden="false" customHeight="true" outlineLevel="0" collapsed="false">
      <c r="A329" s="22" t="s">
        <v>18</v>
      </c>
      <c r="B329" s="22" t="s">
        <v>1428</v>
      </c>
      <c r="C329" s="22" t="s">
        <v>1425</v>
      </c>
      <c r="D329" s="22"/>
      <c r="E329" s="31"/>
      <c r="F329" s="22" t="s">
        <v>240</v>
      </c>
      <c r="G329" s="31"/>
      <c r="H329" s="22" t="s">
        <v>1429</v>
      </c>
      <c r="I329" s="22" t="s">
        <v>1430</v>
      </c>
      <c r="J329" s="22"/>
      <c r="K329" s="22"/>
    </row>
    <row r="330" customFormat="false" ht="15.75" hidden="false" customHeight="true" outlineLevel="0" collapsed="false">
      <c r="A330" s="19" t="s">
        <v>18</v>
      </c>
      <c r="B330" s="19" t="s">
        <v>1431</v>
      </c>
      <c r="C330" s="19" t="s">
        <v>1432</v>
      </c>
      <c r="D330" s="19" t="s">
        <v>1433</v>
      </c>
      <c r="E330" s="39"/>
      <c r="F330" s="19" t="s">
        <v>240</v>
      </c>
      <c r="G330" s="39"/>
      <c r="H330" s="19" t="s">
        <v>1434</v>
      </c>
      <c r="I330" s="19" t="s">
        <v>1435</v>
      </c>
      <c r="J330" s="19"/>
      <c r="K330" s="19"/>
    </row>
    <row r="331" customFormat="false" ht="15.75" hidden="false" customHeight="true" outlineLevel="0" collapsed="false">
      <c r="A331" s="22" t="s">
        <v>18</v>
      </c>
      <c r="B331" s="22" t="s">
        <v>1436</v>
      </c>
      <c r="C331" s="22" t="s">
        <v>1437</v>
      </c>
      <c r="D331" s="22"/>
      <c r="E331" s="31"/>
      <c r="F331" s="22" t="s">
        <v>240</v>
      </c>
      <c r="G331" s="31"/>
      <c r="H331" s="22" t="s">
        <v>1438</v>
      </c>
      <c r="I331" s="22" t="s">
        <v>1439</v>
      </c>
      <c r="J331" s="22"/>
      <c r="K331" s="22"/>
    </row>
    <row r="332" customFormat="false" ht="34.5" hidden="false" customHeight="true" outlineLevel="0" collapsed="false">
      <c r="A332" s="19" t="s">
        <v>18</v>
      </c>
      <c r="B332" s="19" t="s">
        <v>1440</v>
      </c>
      <c r="C332" s="19"/>
      <c r="D332" s="19"/>
      <c r="E332" s="39"/>
      <c r="F332" s="19" t="s">
        <v>240</v>
      </c>
      <c r="G332" s="39"/>
      <c r="H332" s="19" t="s">
        <v>1441</v>
      </c>
      <c r="I332" s="19" t="s">
        <v>1442</v>
      </c>
      <c r="J332" s="19"/>
      <c r="K332" s="19"/>
    </row>
    <row r="333" customFormat="false" ht="15.75" hidden="false" customHeight="true" outlineLevel="0" collapsed="false">
      <c r="A333" s="22" t="s">
        <v>18</v>
      </c>
      <c r="B333" s="22" t="s">
        <v>1443</v>
      </c>
      <c r="C333" s="22" t="s">
        <v>1444</v>
      </c>
      <c r="D333" s="22"/>
      <c r="E333" s="31"/>
      <c r="F333" s="22" t="s">
        <v>240</v>
      </c>
      <c r="G333" s="31"/>
      <c r="H333" s="22" t="s">
        <v>1445</v>
      </c>
      <c r="I333" s="22" t="s">
        <v>1446</v>
      </c>
      <c r="J333" s="22"/>
      <c r="K333" s="22"/>
    </row>
    <row r="334" customFormat="false" ht="15.75" hidden="false" customHeight="true" outlineLevel="0" collapsed="false">
      <c r="A334" s="19" t="s">
        <v>18</v>
      </c>
      <c r="B334" s="19" t="s">
        <v>1447</v>
      </c>
      <c r="C334" s="19" t="s">
        <v>1448</v>
      </c>
      <c r="D334" s="19"/>
      <c r="E334" s="39"/>
      <c r="F334" s="19" t="s">
        <v>240</v>
      </c>
      <c r="G334" s="39"/>
      <c r="H334" s="19" t="s">
        <v>1449</v>
      </c>
      <c r="I334" s="19" t="s">
        <v>1450</v>
      </c>
      <c r="J334" s="19"/>
      <c r="K334" s="19"/>
    </row>
    <row r="335" customFormat="false" ht="23.25" hidden="false" customHeight="true" outlineLevel="0" collapsed="false">
      <c r="A335" s="22" t="s">
        <v>18</v>
      </c>
      <c r="B335" s="22" t="s">
        <v>1451</v>
      </c>
      <c r="C335" s="22" t="s">
        <v>1452</v>
      </c>
      <c r="D335" s="22"/>
      <c r="E335" s="31"/>
      <c r="F335" s="22" t="s">
        <v>240</v>
      </c>
      <c r="G335" s="31"/>
      <c r="H335" s="22" t="s">
        <v>1453</v>
      </c>
      <c r="I335" s="22" t="s">
        <v>1454</v>
      </c>
      <c r="J335" s="22"/>
      <c r="K335" s="22"/>
    </row>
    <row r="336" customFormat="false" ht="23.25" hidden="false" customHeight="true" outlineLevel="0" collapsed="false">
      <c r="A336" s="19" t="s">
        <v>18</v>
      </c>
      <c r="B336" s="19" t="s">
        <v>1455</v>
      </c>
      <c r="C336" s="19" t="s">
        <v>1456</v>
      </c>
      <c r="D336" s="19" t="s">
        <v>1457</v>
      </c>
      <c r="E336" s="39"/>
      <c r="F336" s="19" t="s">
        <v>240</v>
      </c>
      <c r="G336" s="39"/>
      <c r="H336" s="19" t="s">
        <v>1458</v>
      </c>
      <c r="I336" s="19" t="s">
        <v>1459</v>
      </c>
      <c r="J336" s="19"/>
      <c r="K336" s="19"/>
    </row>
    <row r="337" customFormat="false" ht="15.75" hidden="false" customHeight="true" outlineLevel="0" collapsed="false">
      <c r="A337" s="22"/>
      <c r="B337" s="22"/>
      <c r="C337" s="22"/>
      <c r="D337" s="22"/>
      <c r="E337" s="22"/>
      <c r="F337" s="22"/>
      <c r="G337" s="22"/>
      <c r="H337" s="22"/>
      <c r="I337" s="22"/>
      <c r="J337" s="22"/>
      <c r="K337" s="22"/>
    </row>
    <row r="338" customFormat="false" ht="15.75" hidden="false" customHeight="true" outlineLevel="0" collapsed="false">
      <c r="A338" s="29"/>
      <c r="B338" s="29"/>
      <c r="C338" s="29"/>
      <c r="D338" s="29"/>
      <c r="E338" s="29"/>
      <c r="F338" s="29"/>
      <c r="G338" s="29"/>
      <c r="H338" s="29"/>
      <c r="I338" s="29"/>
      <c r="J338" s="29"/>
      <c r="K338" s="19"/>
    </row>
  </sheetData>
  <autoFilter ref="A1:K338"/>
  <dataValidations count="4">
    <dataValidation allowBlank="true" errorStyle="stop" operator="between" showDropDown="false" showErrorMessage="true" showInputMessage="false" sqref="F2:F23 F30:F163 F165:F235 F291:F336" type="list">
      <formula1>"Direct email,Instagram,Website portal,Mulitple,Walk in,Facebook Messenger"</formula1>
      <formula2>0</formula2>
    </dataValidation>
    <dataValidation allowBlank="true" errorStyle="stop" operator="between" showDropDown="false" showErrorMessage="true" showInputMessage="false" sqref="A2:A336" type="list">
      <formula1>"Boise,Bozeman,Denver,Jackson Hole,National,Portland,Seattle,Taos,Vancouver"</formula1>
      <formula2>0</formula2>
    </dataValidation>
    <dataValidation allowBlank="true" errorStyle="stop" operator="between" showDropDown="false" showErrorMessage="true" showInputMessage="false" sqref="F236:F269" type="list">
      <formula1>"Direct email,Instagram,Website portal,Mulitple,Walk in,Facebook Messenger,Text"</formula1>
      <formula2>0</formula2>
    </dataValidation>
    <dataValidation allowBlank="true" errorStyle="stop" operator="between" showDropDown="false" showErrorMessage="true" showInputMessage="false" sqref="J2:J165 K166:K235 J236:J284 J291:J336" type="list">
      <formula1>"1st outreach,2nd outreach,In conversation,Confirmed Sponsor,Declined,No response,2026 High Potential,Closed convo / do not follow up"</formula1>
      <formula2>0</formula2>
    </dataValidation>
  </dataValidations>
  <hyperlinks>
    <hyperlink ref="B4" r:id="rId1" display="Sagebrush Collective&#10;https://www.sagebrushcollaborative.com/"/>
    <hyperlink ref="B17" r:id="rId2" display="Rosa Garden City restaruant&#10;https://www.rosagardencity.com/"/>
    <hyperlink ref="B18" r:id="rId3" display="Wylder Hospitality Group &#10;https://www.wylderhospitalitygroup.com/"/>
    <hyperlink ref="B19" r:id="rId4" display="Rose Entertainment Group&#10;https://www.roseentertainmentpnw.com/"/>
    <hyperlink ref="B20" r:id="rId5" display="Boise Creative Center&#10;https://boise-creative.com/"/>
    <hyperlink ref="B23" r:id="rId6" display="HyperLUX Mag&#10;https://hyperluxmagazine.com/category/art/"/>
    <hyperlink ref="D42" r:id="rId7" display="Dean, Asst Dean and publications manager at the university&#10;https://www.montana.edu/search/departments.html?mus.q=&amp;gsc.q=&amp;mus.d=10"/>
    <hyperlink ref="D52" r:id="rId8" display="hello@thesapphiremotel.com   "/>
    <hyperlink ref="D56" r:id="rId9" display="bessie.hudgens@bhhsmt.com"/>
    <hyperlink ref="B61" r:id="rId10" display="  Denver Public Art&#10;https://denverpublicart.org/"/>
    <hyperlink ref="D108" r:id="rId11" display="website portal only: https://prodigyventures.org/contact/"/>
    <hyperlink ref="D130" r:id="rId12" display="https://drinkolipop.com/pages/affiliate-program"/>
    <hyperlink ref="D131" r:id="rId13" display="Talk to us about your business, product inquiries, and everything in between.  eltamd@cpskinhealth.com"/>
    <hyperlink ref="D137" r:id="rId14" display="joe.ferraro@avisbudget.com"/>
    <hyperlink ref="G149" r:id="rId15" display="submit content: https://traveloregon.com/write-travel-oregon/"/>
    <hyperlink ref="B166" r:id="rId16" display="Crave Catering&#10;https://portland-catering.com/"/>
    <hyperlink ref="D166" r:id="rId17" display="Owner, Mark&#10;mark@cravepdx.com"/>
    <hyperlink ref="B167" r:id="rId18" display="DJAquamarine.com&#10;DJswithStyle.com"/>
    <hyperlink ref="D182" r:id="rId19" display="https://theplatfrm.com/ -  Instagram is the only way to get a message through"/>
    <hyperlink ref="B196" r:id="rId20" display="Cathedral Coffee&#10;https://cathedralcoffee.com/pages/the-cathedral-story"/>
    <hyperlink ref="B199" r:id="rId21" display="Altar &#10;https://www.altarpdx.com/pages/about-us"/>
    <hyperlink ref="B201" r:id="rId22" display="Presents of Mind - novelity and gift shop&#10;https://www.presentsofmind.tv/about-presentsofmind-gifts"/>
    <hyperlink ref="B202" r:id="rId23" display="Red Light Clothing Exch&#10;https://shopredlight.com/"/>
    <hyperlink ref="B204" r:id="rId24" display="Montavilla Brew Works&#10;https://montavillabrew.com/"/>
    <hyperlink ref="D207" r:id="rId25" display="website portal:  https://www.rwest.com/contact/"/>
    <hyperlink ref="B217" r:id="rId26" display="Holocene Portland, venue&#10;https://www.holocene.org/"/>
    <hyperlink ref="D217" r:id="rId27" display="hc@holocene.org"/>
    <hyperlink ref="B219" r:id="rId28" display="East Creative PDX (non profit)&#10;http://eastcreativepdx.org/"/>
    <hyperlink ref="B220" r:id="rId29" display="Kinship - work space for makers&#10;https://kinshippdx.com/"/>
    <hyperlink ref="I223" r:id="rId30" display="@therapeuticassociatespt"/>
    <hyperlink ref="D228" r:id="rId31" display="info@ringcraftmuaythai.com"/>
    <hyperlink ref="I229" r:id="rId32" display="https://www.instagram.com/barberq_portland/#"/>
    <hyperlink ref="B230" r:id="rId33" display="The Whole Bowl, multiple locations&#10;https://thewholebowl.com/"/>
    <hyperlink ref="B235" r:id="rId34" display="Weird Portland United Non Profit&#10;https://www.weirdportlandunited.org/"/>
    <hyperlink ref="D246" r:id="rId35" display="info@ and press@ subpop.com"/>
    <hyperlink ref="B256" r:id="rId36" display="Fogue Studio &amp; Gallery&#10;https://foguestudios.com/"/>
    <hyperlink ref="D281" r:id="rId37" display="https://www.allthebestpetcare.com/locations-and-hours/best-pet-store-in-ballard/&#10;customercare@allthebestpetcare.com"/>
    <hyperlink ref="D283" r:id="rId38" display="https://stumbletownseattle.com/"/>
    <hyperlink ref="H299" r:id="rId39" display="@black.cat.creative "/>
    <hyperlink ref="D305" r:id="rId40" display="leesideskatepark@gmail.com"/>
    <hyperlink ref="I306" r:id="rId41" display="Copy of SPRAYCATION 2025"/>
    <hyperlink ref="B313" r:id="rId42" display="check out this place: Artigiano Cafe&#10;https://caffeartigiano.com/"/>
    <hyperlink ref="H315" r:id="rId43" display="has a 'fan page' on IG&#10;https://www.instagram.com/explore/locations/250042503/gene-coffee-bar-fanpag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4"/>
  <tableParts>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 width="27.63"/>
    <col collapsed="false" customWidth="true" hidden="false" outlineLevel="0" max="3" min="3" style="1" width="24.88"/>
    <col collapsed="false" customWidth="true" hidden="false" outlineLevel="0" max="4" min="4" style="1" width="22.25"/>
    <col collapsed="false" customWidth="true" hidden="false" outlineLevel="0" max="7" min="7" style="1" width="20"/>
  </cols>
  <sheetData>
    <row r="1" customFormat="false" ht="41.25" hidden="false" customHeight="true" outlineLevel="0" collapsed="false">
      <c r="A1" s="60" t="s">
        <v>12</v>
      </c>
      <c r="B1" s="60" t="s">
        <v>202</v>
      </c>
      <c r="C1" s="60" t="s">
        <v>203</v>
      </c>
      <c r="D1" s="60" t="s">
        <v>204</v>
      </c>
      <c r="E1" s="60" t="s">
        <v>205</v>
      </c>
      <c r="F1" s="60" t="s">
        <v>206</v>
      </c>
      <c r="G1" s="60" t="s">
        <v>207</v>
      </c>
      <c r="H1" s="60" t="s">
        <v>208</v>
      </c>
      <c r="I1" s="60" t="s">
        <v>209</v>
      </c>
      <c r="J1" s="61" t="s">
        <v>38</v>
      </c>
    </row>
    <row r="2" customFormat="false" ht="15.75" hidden="false" customHeight="true" outlineLevel="0" collapsed="false">
      <c r="A2" s="62" t="s">
        <v>1460</v>
      </c>
      <c r="B2" s="63"/>
      <c r="C2" s="64"/>
      <c r="D2" s="64"/>
      <c r="E2" s="65"/>
      <c r="F2" s="64"/>
      <c r="G2" s="64"/>
      <c r="H2" s="64"/>
      <c r="I2" s="64"/>
      <c r="J2" s="64"/>
      <c r="K2" s="66"/>
      <c r="L2" s="66"/>
      <c r="M2" s="66"/>
      <c r="N2" s="66"/>
      <c r="O2" s="66"/>
      <c r="P2" s="66"/>
      <c r="Q2" s="66"/>
      <c r="R2" s="66"/>
      <c r="S2" s="66"/>
      <c r="T2" s="66"/>
      <c r="U2" s="66"/>
      <c r="V2" s="66"/>
      <c r="W2" s="66"/>
      <c r="X2" s="66"/>
      <c r="Y2" s="66"/>
      <c r="Z2" s="66"/>
    </row>
    <row r="3" customFormat="false" ht="15.75" hidden="false" customHeight="true" outlineLevel="0" collapsed="false">
      <c r="A3" s="62"/>
      <c r="B3" s="63"/>
      <c r="C3" s="64"/>
      <c r="D3" s="64"/>
      <c r="E3" s="65"/>
      <c r="F3" s="64"/>
      <c r="G3" s="64"/>
      <c r="H3" s="64"/>
      <c r="I3" s="64"/>
      <c r="J3" s="64"/>
      <c r="K3" s="66"/>
      <c r="L3" s="66"/>
      <c r="M3" s="66"/>
      <c r="N3" s="66"/>
      <c r="O3" s="66"/>
      <c r="P3" s="66"/>
      <c r="Q3" s="66"/>
      <c r="R3" s="66"/>
      <c r="S3" s="66"/>
      <c r="T3" s="66"/>
      <c r="U3" s="66"/>
      <c r="V3" s="66"/>
      <c r="W3" s="66"/>
      <c r="X3" s="66"/>
      <c r="Y3" s="66"/>
      <c r="Z3" s="66"/>
    </row>
    <row r="4" customFormat="false" ht="15.75" hidden="false" customHeight="true" outlineLevel="0" collapsed="false">
      <c r="A4" s="62"/>
      <c r="B4" s="63"/>
      <c r="C4" s="64"/>
      <c r="D4" s="64"/>
      <c r="E4" s="65"/>
      <c r="F4" s="64"/>
      <c r="G4" s="64"/>
      <c r="H4" s="64"/>
      <c r="I4" s="64"/>
      <c r="J4" s="64"/>
      <c r="K4" s="66"/>
      <c r="L4" s="66"/>
      <c r="M4" s="66"/>
      <c r="N4" s="66"/>
      <c r="O4" s="66"/>
      <c r="P4" s="66"/>
      <c r="Q4" s="66"/>
      <c r="R4" s="66"/>
      <c r="S4" s="66"/>
      <c r="T4" s="66"/>
      <c r="U4" s="66"/>
      <c r="V4" s="66"/>
      <c r="W4" s="66"/>
      <c r="X4" s="66"/>
      <c r="Y4" s="66"/>
      <c r="Z4" s="66"/>
    </row>
    <row r="5" customFormat="false" ht="15.75" hidden="false" customHeight="true" outlineLevel="0" collapsed="false">
      <c r="A5" s="62"/>
      <c r="B5" s="63"/>
      <c r="C5" s="64"/>
      <c r="D5" s="64"/>
      <c r="E5" s="65"/>
      <c r="F5" s="64"/>
      <c r="G5" s="64"/>
      <c r="H5" s="64"/>
      <c r="I5" s="64"/>
      <c r="J5" s="64"/>
      <c r="K5" s="66"/>
      <c r="L5" s="66"/>
      <c r="M5" s="66"/>
      <c r="N5" s="66"/>
      <c r="O5" s="66"/>
      <c r="P5" s="66"/>
      <c r="Q5" s="66"/>
      <c r="R5" s="66"/>
      <c r="S5" s="66"/>
      <c r="T5" s="66"/>
      <c r="U5" s="66"/>
      <c r="V5" s="66"/>
      <c r="W5" s="66"/>
      <c r="X5" s="66"/>
      <c r="Y5" s="66"/>
      <c r="Z5" s="66"/>
    </row>
    <row r="6" customFormat="false" ht="15.75" hidden="false" customHeight="true" outlineLevel="0" collapsed="false">
      <c r="A6" s="62"/>
      <c r="B6" s="63"/>
      <c r="C6" s="64"/>
      <c r="D6" s="64"/>
      <c r="E6" s="65"/>
      <c r="F6" s="64"/>
      <c r="G6" s="64"/>
      <c r="H6" s="64"/>
      <c r="I6" s="64"/>
      <c r="J6" s="64"/>
      <c r="K6" s="66"/>
      <c r="L6" s="66"/>
      <c r="M6" s="66"/>
      <c r="N6" s="66"/>
      <c r="O6" s="66"/>
      <c r="P6" s="66"/>
      <c r="Q6" s="66"/>
      <c r="R6" s="66"/>
      <c r="S6" s="66"/>
      <c r="T6" s="66"/>
      <c r="U6" s="66"/>
      <c r="V6" s="66"/>
      <c r="W6" s="66"/>
      <c r="X6" s="66"/>
      <c r="Y6" s="66"/>
      <c r="Z6" s="66"/>
    </row>
    <row r="7" customFormat="false" ht="15.75" hidden="false" customHeight="true" outlineLevel="0" collapsed="false">
      <c r="A7" s="62"/>
      <c r="B7" s="63"/>
      <c r="C7" s="64"/>
      <c r="D7" s="64"/>
      <c r="E7" s="65"/>
      <c r="F7" s="64"/>
      <c r="G7" s="64"/>
      <c r="H7" s="64"/>
      <c r="I7" s="64"/>
      <c r="J7" s="64"/>
      <c r="K7" s="66"/>
      <c r="L7" s="66"/>
      <c r="M7" s="66"/>
      <c r="N7" s="66"/>
      <c r="O7" s="66"/>
      <c r="P7" s="66"/>
      <c r="Q7" s="66"/>
      <c r="R7" s="66"/>
      <c r="S7" s="66"/>
      <c r="T7" s="66"/>
      <c r="U7" s="66"/>
      <c r="V7" s="66"/>
      <c r="W7" s="66"/>
      <c r="X7" s="66"/>
      <c r="Y7" s="66"/>
      <c r="Z7" s="66"/>
    </row>
    <row r="8" customFormat="false" ht="15.75" hidden="false" customHeight="true" outlineLevel="0" collapsed="false">
      <c r="A8" s="62"/>
      <c r="B8" s="63"/>
      <c r="C8" s="64"/>
      <c r="D8" s="64"/>
      <c r="E8" s="65"/>
      <c r="F8" s="64"/>
      <c r="G8" s="64"/>
      <c r="H8" s="64"/>
      <c r="I8" s="64"/>
      <c r="J8" s="64"/>
      <c r="K8" s="66"/>
      <c r="L8" s="66"/>
      <c r="M8" s="66"/>
      <c r="N8" s="66"/>
      <c r="O8" s="66"/>
      <c r="P8" s="66"/>
      <c r="Q8" s="66"/>
      <c r="R8" s="66"/>
      <c r="S8" s="66"/>
      <c r="T8" s="66"/>
      <c r="U8" s="66"/>
      <c r="V8" s="66"/>
      <c r="W8" s="66"/>
      <c r="X8" s="66"/>
      <c r="Y8" s="66"/>
      <c r="Z8" s="66"/>
    </row>
    <row r="9" customFormat="false" ht="15.75" hidden="false" customHeight="true" outlineLevel="0" collapsed="false">
      <c r="A9" s="62"/>
      <c r="B9" s="63"/>
      <c r="C9" s="64"/>
      <c r="D9" s="64"/>
      <c r="E9" s="65"/>
      <c r="F9" s="64"/>
      <c r="G9" s="64"/>
      <c r="H9" s="64"/>
      <c r="I9" s="64"/>
      <c r="J9" s="64"/>
      <c r="K9" s="66"/>
      <c r="L9" s="66"/>
      <c r="M9" s="66"/>
      <c r="N9" s="66"/>
      <c r="O9" s="66"/>
      <c r="P9" s="66"/>
      <c r="Q9" s="66"/>
      <c r="R9" s="66"/>
      <c r="S9" s="66"/>
      <c r="T9" s="66"/>
      <c r="U9" s="66"/>
      <c r="V9" s="66"/>
      <c r="W9" s="66"/>
      <c r="X9" s="66"/>
      <c r="Y9" s="66"/>
      <c r="Z9" s="66"/>
    </row>
    <row r="10" customFormat="false" ht="15.75" hidden="false" customHeight="true" outlineLevel="0" collapsed="false">
      <c r="A10" s="62"/>
      <c r="B10" s="63"/>
      <c r="C10" s="64"/>
      <c r="D10" s="64"/>
      <c r="E10" s="65"/>
      <c r="F10" s="64"/>
      <c r="G10" s="64"/>
      <c r="H10" s="64"/>
      <c r="I10" s="64"/>
      <c r="J10" s="64"/>
      <c r="K10" s="66"/>
      <c r="L10" s="66"/>
      <c r="M10" s="66"/>
      <c r="N10" s="66"/>
      <c r="O10" s="66"/>
      <c r="P10" s="66"/>
      <c r="Q10" s="66"/>
      <c r="R10" s="66"/>
      <c r="S10" s="66"/>
      <c r="T10" s="66"/>
      <c r="U10" s="66"/>
      <c r="V10" s="66"/>
      <c r="W10" s="66"/>
      <c r="X10" s="66"/>
      <c r="Y10" s="66"/>
      <c r="Z10" s="66"/>
    </row>
    <row r="11" customFormat="false" ht="15.75" hidden="false" customHeight="true" outlineLevel="0" collapsed="false">
      <c r="A11" s="62"/>
      <c r="B11" s="63"/>
      <c r="C11" s="64"/>
      <c r="D11" s="64"/>
      <c r="E11" s="65"/>
      <c r="F11" s="64"/>
      <c r="G11" s="64"/>
      <c r="H11" s="64"/>
      <c r="I11" s="64"/>
      <c r="J11" s="64"/>
      <c r="K11" s="66"/>
      <c r="L11" s="66"/>
      <c r="M11" s="66"/>
      <c r="N11" s="66"/>
      <c r="O11" s="66"/>
      <c r="P11" s="66"/>
      <c r="Q11" s="66"/>
      <c r="R11" s="66"/>
      <c r="S11" s="66"/>
      <c r="T11" s="66"/>
      <c r="U11" s="66"/>
      <c r="V11" s="66"/>
      <c r="W11" s="66"/>
      <c r="X11" s="66"/>
      <c r="Y11" s="66"/>
      <c r="Z11" s="66"/>
    </row>
    <row r="12" customFormat="false" ht="15.75" hidden="false" customHeight="true" outlineLevel="0" collapsed="false">
      <c r="A12" s="62"/>
      <c r="B12" s="63"/>
      <c r="C12" s="64"/>
      <c r="D12" s="64"/>
      <c r="E12" s="65"/>
      <c r="F12" s="64"/>
      <c r="G12" s="64"/>
      <c r="H12" s="64"/>
      <c r="I12" s="64"/>
      <c r="J12" s="64"/>
      <c r="K12" s="66"/>
      <c r="L12" s="66"/>
      <c r="M12" s="66"/>
      <c r="N12" s="66"/>
      <c r="O12" s="66"/>
      <c r="P12" s="66"/>
      <c r="Q12" s="66"/>
      <c r="R12" s="66"/>
      <c r="S12" s="66"/>
      <c r="T12" s="66"/>
      <c r="U12" s="66"/>
      <c r="V12" s="66"/>
      <c r="W12" s="66"/>
      <c r="X12" s="66"/>
      <c r="Y12" s="66"/>
      <c r="Z12" s="66"/>
    </row>
    <row r="13" customFormat="false" ht="15.75" hidden="false" customHeight="true" outlineLevel="0" collapsed="false">
      <c r="A13" s="62"/>
      <c r="B13" s="63"/>
      <c r="C13" s="64"/>
      <c r="D13" s="64"/>
      <c r="E13" s="65"/>
      <c r="F13" s="64"/>
      <c r="G13" s="64"/>
      <c r="H13" s="64"/>
      <c r="I13" s="64"/>
      <c r="J13" s="64"/>
      <c r="K13" s="66"/>
      <c r="L13" s="66"/>
      <c r="M13" s="66"/>
      <c r="N13" s="66"/>
      <c r="O13" s="66"/>
      <c r="P13" s="66"/>
      <c r="Q13" s="66"/>
      <c r="R13" s="66"/>
      <c r="S13" s="66"/>
      <c r="T13" s="66"/>
      <c r="U13" s="66"/>
      <c r="V13" s="66"/>
      <c r="W13" s="66"/>
      <c r="X13" s="66"/>
      <c r="Y13" s="66"/>
      <c r="Z13" s="66"/>
    </row>
    <row r="14" customFormat="false" ht="15.75" hidden="false" customHeight="true" outlineLevel="0" collapsed="false">
      <c r="A14" s="62"/>
      <c r="B14" s="63"/>
      <c r="C14" s="64"/>
      <c r="D14" s="64"/>
      <c r="E14" s="65"/>
      <c r="F14" s="64"/>
      <c r="G14" s="64"/>
      <c r="H14" s="64"/>
      <c r="I14" s="64"/>
      <c r="J14" s="64"/>
      <c r="K14" s="66"/>
      <c r="L14" s="66"/>
      <c r="M14" s="66"/>
      <c r="N14" s="66"/>
      <c r="O14" s="66"/>
      <c r="P14" s="66"/>
      <c r="Q14" s="66"/>
      <c r="R14" s="66"/>
      <c r="S14" s="66"/>
      <c r="T14" s="66"/>
      <c r="U14" s="66"/>
      <c r="V14" s="66"/>
      <c r="W14" s="66"/>
      <c r="X14" s="66"/>
      <c r="Y14" s="66"/>
      <c r="Z14" s="66"/>
    </row>
  </sheetData>
  <dataValidations count="3">
    <dataValidation allowBlank="true" errorStyle="stop" operator="between" showDropDown="false" showErrorMessage="true" showInputMessage="false" sqref="A2:A14" type="list">
      <formula1>"Boise,Bozeman,Denver,Jackson Hole,National,Portland,Seattle,Taos,Vancouver,Austin"</formula1>
      <formula2>0</formula2>
    </dataValidation>
    <dataValidation allowBlank="true" errorStyle="stop" operator="between" showDropDown="false" showErrorMessage="true" showInputMessage="false" sqref="F2:F14" type="list">
      <formula1>"Direct email,Instagram,Website portal,Mulitple,Walk in,Facebook Messenger"</formula1>
      <formula2>0</formula2>
    </dataValidation>
    <dataValidation allowBlank="true" errorStyle="stop" operator="between" showDropDown="false" showErrorMessage="true" showInputMessage="false" sqref="J2:J14" type="list">
      <formula1>"1st outreach,2nd outreach,In conversation,Confirmed Sponsor,Declined,No response,2026 High Potential,Closed convo / do not follow up"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9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4"/>
    <col collapsed="false" customWidth="true" hidden="false" outlineLevel="0" max="4" min="2" style="1" width="40"/>
    <col collapsed="false" customWidth="true" hidden="false" outlineLevel="0" max="5" min="5" style="1" width="14"/>
    <col collapsed="false" customWidth="true" hidden="false" outlineLevel="0" max="6" min="6" style="1" width="19"/>
    <col collapsed="false" customWidth="true" hidden="false" outlineLevel="0" max="8" min="7" style="1" width="40"/>
    <col collapsed="false" customWidth="true" hidden="false" outlineLevel="0" max="9" min="9" style="1" width="18"/>
    <col collapsed="false" customWidth="true" hidden="false" outlineLevel="0" max="10" min="10" style="1" width="21"/>
  </cols>
  <sheetData>
    <row r="1" customFormat="false" ht="41.25" hidden="false" customHeight="true" outlineLevel="0" collapsed="false">
      <c r="A1" s="17" t="s">
        <v>12</v>
      </c>
      <c r="B1" s="17" t="s">
        <v>202</v>
      </c>
      <c r="C1" s="17" t="s">
        <v>203</v>
      </c>
      <c r="D1" s="17" t="s">
        <v>204</v>
      </c>
      <c r="E1" s="17" t="s">
        <v>205</v>
      </c>
      <c r="F1" s="17" t="s">
        <v>206</v>
      </c>
      <c r="G1" s="17" t="s">
        <v>207</v>
      </c>
      <c r="H1" s="17" t="s">
        <v>208</v>
      </c>
      <c r="I1" s="17"/>
      <c r="J1" s="17" t="s">
        <v>38</v>
      </c>
    </row>
    <row r="2" customFormat="false" ht="15.75" hidden="false" customHeight="true" outlineLevel="0" collapsed="false">
      <c r="A2" s="29" t="s">
        <v>20</v>
      </c>
      <c r="B2" s="29" t="s">
        <v>1461</v>
      </c>
      <c r="C2" s="29" t="s">
        <v>1462</v>
      </c>
      <c r="D2" s="29" t="s">
        <v>1463</v>
      </c>
      <c r="E2" s="32"/>
      <c r="F2" s="19"/>
      <c r="G2" s="29"/>
      <c r="H2" s="29" t="s">
        <v>1464</v>
      </c>
      <c r="I2" s="29" t="s">
        <v>1465</v>
      </c>
      <c r="J2" s="29" t="s">
        <v>217</v>
      </c>
      <c r="K2" s="67"/>
      <c r="L2" s="30"/>
      <c r="M2" s="30"/>
      <c r="N2" s="30"/>
      <c r="O2" s="30"/>
      <c r="P2" s="30"/>
      <c r="Q2" s="30"/>
      <c r="R2" s="30"/>
      <c r="S2" s="30"/>
      <c r="T2" s="30"/>
      <c r="U2" s="30"/>
      <c r="V2" s="30"/>
      <c r="W2" s="30"/>
      <c r="X2" s="30"/>
      <c r="Y2" s="30"/>
      <c r="Z2" s="30"/>
    </row>
    <row r="3" customFormat="false" ht="57" hidden="false" customHeight="true" outlineLevel="0" collapsed="false">
      <c r="A3" s="22" t="s">
        <v>14</v>
      </c>
      <c r="B3" s="22" t="s">
        <v>1466</v>
      </c>
      <c r="C3" s="22" t="s">
        <v>1467</v>
      </c>
      <c r="D3" s="22" t="s">
        <v>1468</v>
      </c>
      <c r="E3" s="31"/>
      <c r="F3" s="22"/>
      <c r="G3" s="22"/>
      <c r="H3" s="22" t="s">
        <v>1469</v>
      </c>
      <c r="I3" s="22" t="s">
        <v>1470</v>
      </c>
      <c r="J3" s="22"/>
      <c r="K3" s="67"/>
      <c r="L3" s="30"/>
      <c r="M3" s="30"/>
      <c r="N3" s="30"/>
      <c r="O3" s="30"/>
      <c r="P3" s="30"/>
      <c r="Q3" s="30"/>
      <c r="R3" s="30"/>
      <c r="S3" s="30"/>
      <c r="T3" s="30"/>
      <c r="U3" s="30"/>
      <c r="V3" s="30"/>
      <c r="W3" s="30"/>
      <c r="X3" s="30"/>
      <c r="Y3" s="30"/>
      <c r="Z3" s="30"/>
    </row>
    <row r="4" customFormat="false" ht="90.75" hidden="false" customHeight="true" outlineLevel="0" collapsed="false">
      <c r="A4" s="29" t="s">
        <v>14</v>
      </c>
      <c r="B4" s="29" t="s">
        <v>1471</v>
      </c>
      <c r="C4" s="29" t="s">
        <v>1472</v>
      </c>
      <c r="D4" s="29" t="s">
        <v>1473</v>
      </c>
      <c r="E4" s="32"/>
      <c r="F4" s="19"/>
      <c r="G4" s="29"/>
      <c r="H4" s="29"/>
      <c r="I4" s="29"/>
      <c r="J4" s="29"/>
      <c r="K4" s="68"/>
    </row>
    <row r="5" customFormat="false" ht="79.5" hidden="false" customHeight="true" outlineLevel="0" collapsed="false">
      <c r="A5" s="22" t="s">
        <v>14</v>
      </c>
      <c r="B5" s="22" t="s">
        <v>1474</v>
      </c>
      <c r="C5" s="22" t="s">
        <v>1475</v>
      </c>
      <c r="D5" s="22" t="s">
        <v>373</v>
      </c>
      <c r="E5" s="31"/>
      <c r="F5" s="22"/>
      <c r="G5" s="22"/>
      <c r="H5" s="22" t="s">
        <v>1476</v>
      </c>
      <c r="I5" s="22" t="s">
        <v>1477</v>
      </c>
      <c r="J5" s="22"/>
      <c r="K5" s="68"/>
    </row>
    <row r="6" customFormat="false" ht="102" hidden="false" customHeight="true" outlineLevel="0" collapsed="false">
      <c r="A6" s="29" t="s">
        <v>14</v>
      </c>
      <c r="B6" s="19" t="s">
        <v>1478</v>
      </c>
      <c r="C6" s="29" t="s">
        <v>1479</v>
      </c>
      <c r="D6" s="29"/>
      <c r="E6" s="32"/>
      <c r="F6" s="19"/>
      <c r="G6" s="29"/>
      <c r="H6" s="29" t="s">
        <v>1480</v>
      </c>
      <c r="I6" s="29" t="s">
        <v>255</v>
      </c>
      <c r="J6" s="29"/>
      <c r="K6" s="68"/>
    </row>
    <row r="7" customFormat="false" ht="68.25" hidden="false" customHeight="true" outlineLevel="0" collapsed="false">
      <c r="A7" s="22" t="s">
        <v>14</v>
      </c>
      <c r="B7" s="22" t="s">
        <v>1481</v>
      </c>
      <c r="C7" s="22" t="s">
        <v>1482</v>
      </c>
      <c r="D7" s="22" t="s">
        <v>1483</v>
      </c>
      <c r="E7" s="31"/>
      <c r="F7" s="22"/>
      <c r="G7" s="22"/>
      <c r="H7" s="22" t="s">
        <v>1484</v>
      </c>
      <c r="I7" s="22" t="s">
        <v>242</v>
      </c>
      <c r="J7" s="22"/>
      <c r="K7" s="68"/>
    </row>
    <row r="8" customFormat="false" ht="34.5" hidden="false" customHeight="true" outlineLevel="0" collapsed="false">
      <c r="A8" s="29" t="s">
        <v>14</v>
      </c>
      <c r="B8" s="19" t="s">
        <v>1485</v>
      </c>
      <c r="C8" s="29" t="s">
        <v>1486</v>
      </c>
      <c r="D8" s="19" t="s">
        <v>1487</v>
      </c>
      <c r="E8" s="39"/>
      <c r="F8" s="19"/>
      <c r="G8" s="19" t="s">
        <v>1488</v>
      </c>
      <c r="H8" s="19" t="s">
        <v>1489</v>
      </c>
      <c r="I8" s="19"/>
      <c r="J8" s="19"/>
      <c r="K8" s="68"/>
    </row>
    <row r="9" customFormat="false" ht="23.25" hidden="false" customHeight="true" outlineLevel="0" collapsed="false">
      <c r="A9" s="22" t="s">
        <v>14</v>
      </c>
      <c r="B9" s="22" t="s">
        <v>1490</v>
      </c>
      <c r="C9" s="22" t="s">
        <v>1491</v>
      </c>
      <c r="D9" s="22" t="s">
        <v>1492</v>
      </c>
      <c r="E9" s="31"/>
      <c r="F9" s="22"/>
      <c r="G9" s="22" t="s">
        <v>1493</v>
      </c>
      <c r="H9" s="22" t="s">
        <v>1489</v>
      </c>
      <c r="I9" s="22"/>
      <c r="J9" s="22"/>
      <c r="K9" s="68"/>
    </row>
    <row r="10" customFormat="false" ht="15.75" hidden="false" customHeight="true" outlineLevel="0" collapsed="false">
      <c r="A10" s="29" t="s">
        <v>14</v>
      </c>
      <c r="B10" s="43" t="s">
        <v>1494</v>
      </c>
      <c r="C10" s="19" t="s">
        <v>1495</v>
      </c>
      <c r="D10" s="19"/>
      <c r="E10" s="39"/>
      <c r="F10" s="19" t="s">
        <v>240</v>
      </c>
      <c r="G10" s="19"/>
      <c r="H10" s="19"/>
      <c r="I10" s="19"/>
      <c r="J10" s="19"/>
      <c r="K10" s="68"/>
    </row>
    <row r="11" customFormat="false" ht="15.75" hidden="false" customHeight="true" outlineLevel="0" collapsed="false">
      <c r="A11" s="22" t="s">
        <v>15</v>
      </c>
      <c r="B11" s="22" t="s">
        <v>1496</v>
      </c>
      <c r="C11" s="22"/>
      <c r="D11" s="22" t="s">
        <v>1497</v>
      </c>
      <c r="E11" s="31"/>
      <c r="F11" s="22" t="s">
        <v>240</v>
      </c>
      <c r="G11" s="22"/>
      <c r="H11" s="22" t="s">
        <v>1498</v>
      </c>
      <c r="I11" s="22" t="s">
        <v>1499</v>
      </c>
      <c r="J11" s="22"/>
      <c r="K11" s="68"/>
    </row>
    <row r="12" customFormat="false" ht="23.25" hidden="false" customHeight="true" outlineLevel="0" collapsed="false">
      <c r="A12" s="29" t="s">
        <v>14</v>
      </c>
      <c r="B12" s="19" t="s">
        <v>1500</v>
      </c>
      <c r="C12" s="19"/>
      <c r="D12" s="19" t="s">
        <v>1497</v>
      </c>
      <c r="E12" s="39"/>
      <c r="F12" s="19" t="s">
        <v>240</v>
      </c>
      <c r="G12" s="19"/>
      <c r="H12" s="19" t="s">
        <v>1501</v>
      </c>
      <c r="I12" s="19" t="s">
        <v>1502</v>
      </c>
      <c r="J12" s="19"/>
      <c r="K12" s="68"/>
    </row>
    <row r="13" customFormat="false" ht="15.75" hidden="false" customHeight="true" outlineLevel="0" collapsed="false">
      <c r="A13" s="22" t="s">
        <v>15</v>
      </c>
      <c r="B13" s="22" t="s">
        <v>1503</v>
      </c>
      <c r="C13" s="22"/>
      <c r="D13" s="22" t="s">
        <v>1497</v>
      </c>
      <c r="E13" s="31"/>
      <c r="F13" s="22" t="s">
        <v>240</v>
      </c>
      <c r="G13" s="22"/>
      <c r="H13" s="22" t="s">
        <v>1504</v>
      </c>
      <c r="I13" s="22" t="s">
        <v>1505</v>
      </c>
      <c r="J13" s="22"/>
      <c r="K13" s="68"/>
    </row>
    <row r="14" customFormat="false" ht="23.25" hidden="false" customHeight="true" outlineLevel="0" collapsed="false">
      <c r="A14" s="29" t="s">
        <v>15</v>
      </c>
      <c r="B14" s="19" t="s">
        <v>1506</v>
      </c>
      <c r="C14" s="19" t="s">
        <v>1507</v>
      </c>
      <c r="D14" s="19" t="s">
        <v>1497</v>
      </c>
      <c r="E14" s="39"/>
      <c r="F14" s="19" t="s">
        <v>240</v>
      </c>
      <c r="G14" s="19"/>
      <c r="H14" s="19" t="s">
        <v>1508</v>
      </c>
      <c r="I14" s="19" t="s">
        <v>1509</v>
      </c>
      <c r="J14" s="19"/>
      <c r="K14" s="68"/>
    </row>
    <row r="15" customFormat="false" ht="15.75" hidden="false" customHeight="true" outlineLevel="0" collapsed="false">
      <c r="A15" s="22" t="s">
        <v>15</v>
      </c>
      <c r="B15" s="22" t="s">
        <v>1510</v>
      </c>
      <c r="C15" s="22" t="s">
        <v>1511</v>
      </c>
      <c r="D15" s="22" t="s">
        <v>1497</v>
      </c>
      <c r="E15" s="31"/>
      <c r="F15" s="22" t="s">
        <v>240</v>
      </c>
      <c r="G15" s="22"/>
      <c r="H15" s="22" t="s">
        <v>1512</v>
      </c>
      <c r="I15" s="22" t="s">
        <v>1513</v>
      </c>
      <c r="J15" s="22"/>
    </row>
    <row r="16" customFormat="false" ht="15.75" hidden="false" customHeight="true" outlineLevel="0" collapsed="false">
      <c r="A16" s="19" t="s">
        <v>15</v>
      </c>
      <c r="B16" s="19" t="s">
        <v>1514</v>
      </c>
      <c r="C16" s="19"/>
      <c r="D16" s="19" t="s">
        <v>1497</v>
      </c>
      <c r="E16" s="39"/>
      <c r="F16" s="19" t="s">
        <v>240</v>
      </c>
      <c r="G16" s="19"/>
      <c r="H16" s="19" t="s">
        <v>1515</v>
      </c>
      <c r="I16" s="19" t="s">
        <v>1516</v>
      </c>
      <c r="J16" s="19"/>
    </row>
    <row r="17" customFormat="false" ht="15.75" hidden="false" customHeight="true" outlineLevel="0" collapsed="false">
      <c r="A17" s="22" t="s">
        <v>15</v>
      </c>
      <c r="B17" s="22" t="s">
        <v>1517</v>
      </c>
      <c r="C17" s="22"/>
      <c r="D17" s="22" t="s">
        <v>1497</v>
      </c>
      <c r="E17" s="31"/>
      <c r="F17" s="22" t="s">
        <v>240</v>
      </c>
      <c r="G17" s="31"/>
      <c r="H17" s="22" t="s">
        <v>1518</v>
      </c>
      <c r="I17" s="22" t="s">
        <v>1519</v>
      </c>
      <c r="J17" s="22"/>
      <c r="K17" s="30"/>
    </row>
    <row r="18" customFormat="false" ht="15.75" hidden="false" customHeight="true" outlineLevel="0" collapsed="false">
      <c r="A18" s="19" t="s">
        <v>15</v>
      </c>
      <c r="B18" s="19" t="s">
        <v>1520</v>
      </c>
      <c r="C18" s="19"/>
      <c r="D18" s="19" t="s">
        <v>1497</v>
      </c>
      <c r="E18" s="39"/>
      <c r="F18" s="19" t="s">
        <v>240</v>
      </c>
      <c r="G18" s="19" t="s">
        <v>1521</v>
      </c>
      <c r="H18" s="19" t="s">
        <v>1522</v>
      </c>
      <c r="I18" s="19" t="s">
        <v>1523</v>
      </c>
      <c r="J18" s="19"/>
      <c r="K18" s="30"/>
    </row>
    <row r="19" customFormat="false" ht="15.75" hidden="false" customHeight="true" outlineLevel="0" collapsed="false">
      <c r="A19" s="22" t="s">
        <v>18</v>
      </c>
      <c r="B19" s="22" t="s">
        <v>1524</v>
      </c>
      <c r="C19" s="22" t="s">
        <v>1525</v>
      </c>
      <c r="D19" s="22"/>
      <c r="E19" s="31"/>
      <c r="F19" s="22"/>
      <c r="G19" s="31"/>
      <c r="H19" s="22"/>
      <c r="I19" s="22"/>
      <c r="J19" s="22"/>
      <c r="K19" s="30"/>
    </row>
    <row r="20" customFormat="false" ht="23.25" hidden="false" customHeight="true" outlineLevel="0" collapsed="false">
      <c r="A20" s="19" t="s">
        <v>18</v>
      </c>
      <c r="B20" s="19" t="s">
        <v>1526</v>
      </c>
      <c r="C20" s="19" t="s">
        <v>1527</v>
      </c>
      <c r="D20" s="19"/>
      <c r="E20" s="39"/>
      <c r="F20" s="19" t="s">
        <v>240</v>
      </c>
      <c r="G20" s="39"/>
      <c r="H20" s="19" t="s">
        <v>1528</v>
      </c>
      <c r="I20" s="19" t="s">
        <v>1529</v>
      </c>
      <c r="J20" s="19"/>
      <c r="K20" s="30"/>
    </row>
    <row r="21" customFormat="false" ht="23.25" hidden="false" customHeight="true" outlineLevel="0" collapsed="false">
      <c r="A21" s="22" t="s">
        <v>18</v>
      </c>
      <c r="B21" s="22" t="s">
        <v>1530</v>
      </c>
      <c r="C21" s="22" t="s">
        <v>1531</v>
      </c>
      <c r="D21" s="22"/>
      <c r="E21" s="31"/>
      <c r="F21" s="22" t="s">
        <v>240</v>
      </c>
      <c r="G21" s="31"/>
      <c r="H21" s="22" t="s">
        <v>1532</v>
      </c>
      <c r="I21" s="22" t="s">
        <v>1533</v>
      </c>
      <c r="J21" s="22"/>
      <c r="K21" s="30"/>
    </row>
    <row r="22" customFormat="false" ht="15.75" hidden="false" customHeight="true" outlineLevel="0" collapsed="false">
      <c r="A22" s="19" t="s">
        <v>17</v>
      </c>
      <c r="B22" s="19" t="s">
        <v>1534</v>
      </c>
      <c r="C22" s="19" t="s">
        <v>1535</v>
      </c>
      <c r="D22" s="19"/>
      <c r="E22" s="39"/>
      <c r="F22" s="19" t="s">
        <v>240</v>
      </c>
      <c r="G22" s="39"/>
      <c r="H22" s="19" t="s">
        <v>1536</v>
      </c>
      <c r="I22" s="69" t="s">
        <v>1537</v>
      </c>
      <c r="J22" s="19"/>
      <c r="K22" s="30"/>
    </row>
    <row r="23" customFormat="false" ht="23.25" hidden="false" customHeight="true" outlineLevel="0" collapsed="false">
      <c r="A23" s="22" t="s">
        <v>20</v>
      </c>
      <c r="B23" s="22" t="s">
        <v>1538</v>
      </c>
      <c r="C23" s="22" t="s">
        <v>1539</v>
      </c>
      <c r="D23" s="22" t="s">
        <v>1540</v>
      </c>
      <c r="E23" s="31"/>
      <c r="F23" s="22" t="s">
        <v>240</v>
      </c>
      <c r="G23" s="22" t="s">
        <v>1541</v>
      </c>
      <c r="H23" s="22" t="s">
        <v>1542</v>
      </c>
      <c r="I23" s="22" t="s">
        <v>1543</v>
      </c>
      <c r="J23" s="22" t="s">
        <v>458</v>
      </c>
      <c r="K23" s="30"/>
    </row>
    <row r="24" customFormat="false" ht="15.75" hidden="false" customHeight="true" outlineLevel="0" collapsed="false">
      <c r="A24" s="19" t="s">
        <v>18</v>
      </c>
      <c r="B24" s="19"/>
      <c r="C24" s="29"/>
      <c r="D24" s="19"/>
      <c r="E24" s="39"/>
      <c r="F24" s="19"/>
      <c r="G24" s="39"/>
      <c r="H24" s="19"/>
      <c r="I24" s="19"/>
      <c r="J24" s="19"/>
      <c r="K24" s="30"/>
    </row>
    <row r="25" customFormat="false" ht="15.75" hidden="false" customHeight="true" outlineLevel="0" collapsed="false">
      <c r="B25" s="70"/>
      <c r="C25" s="71"/>
      <c r="D25" s="72"/>
      <c r="E25" s="73"/>
      <c r="F25" s="68"/>
      <c r="G25" s="74"/>
      <c r="H25" s="68"/>
      <c r="I25" s="68"/>
      <c r="J25" s="68"/>
      <c r="K25" s="30"/>
    </row>
    <row r="26" customFormat="false" ht="15.75" hidden="false" customHeight="true" outlineLevel="0" collapsed="false">
      <c r="B26" s="71"/>
      <c r="C26" s="71"/>
      <c r="D26" s="72"/>
      <c r="E26" s="73"/>
      <c r="F26" s="68"/>
      <c r="G26" s="74"/>
      <c r="H26" s="68"/>
      <c r="I26" s="68"/>
      <c r="J26" s="68"/>
      <c r="K26" s="30"/>
    </row>
    <row r="27" customFormat="false" ht="15.75" hidden="false" customHeight="true" outlineLevel="0" collapsed="false">
      <c r="B27" s="71"/>
      <c r="C27" s="71"/>
      <c r="D27" s="72"/>
      <c r="E27" s="73"/>
      <c r="F27" s="68"/>
      <c r="G27" s="74"/>
      <c r="H27" s="68"/>
      <c r="I27" s="68"/>
      <c r="J27" s="68"/>
      <c r="K27" s="30"/>
    </row>
    <row r="28" customFormat="false" ht="15.75" hidden="false" customHeight="true" outlineLevel="0" collapsed="false">
      <c r="B28" s="71"/>
      <c r="C28" s="75"/>
      <c r="D28" s="72"/>
      <c r="E28" s="73"/>
      <c r="F28" s="68"/>
      <c r="G28" s="74"/>
      <c r="H28" s="68"/>
      <c r="I28" s="68"/>
      <c r="J28" s="68"/>
      <c r="K28" s="30"/>
    </row>
    <row r="29" customFormat="false" ht="15.75" hidden="false" customHeight="true" outlineLevel="0" collapsed="false">
      <c r="B29" s="71"/>
      <c r="C29" s="75"/>
      <c r="D29" s="72"/>
      <c r="E29" s="73"/>
      <c r="F29" s="68"/>
      <c r="G29" s="74"/>
      <c r="H29" s="68"/>
      <c r="I29" s="68"/>
      <c r="J29" s="68"/>
      <c r="K29" s="30"/>
    </row>
    <row r="30" customFormat="false" ht="15.75" hidden="false" customHeight="true" outlineLevel="0" collapsed="false">
      <c r="B30" s="71"/>
      <c r="C30" s="75"/>
      <c r="D30" s="72"/>
      <c r="E30" s="73"/>
      <c r="F30" s="68"/>
      <c r="G30" s="74"/>
      <c r="H30" s="68"/>
      <c r="I30" s="68"/>
      <c r="J30" s="68"/>
      <c r="K30" s="30"/>
    </row>
    <row r="31" customFormat="false" ht="15.75" hidden="false" customHeight="true" outlineLevel="0" collapsed="false">
      <c r="B31" s="67"/>
      <c r="C31" s="67"/>
      <c r="D31" s="67"/>
    </row>
    <row r="32" customFormat="false" ht="15.75" hidden="false" customHeight="true" outlineLevel="0" collapsed="false">
      <c r="B32" s="67"/>
      <c r="C32" s="67"/>
      <c r="D32" s="67"/>
    </row>
    <row r="33" customFormat="false" ht="15.75" hidden="false" customHeight="true" outlineLevel="0" collapsed="false">
      <c r="B33" s="67"/>
      <c r="C33" s="67"/>
      <c r="D33" s="67"/>
    </row>
    <row r="34" customFormat="false" ht="15.75" hidden="false" customHeight="true" outlineLevel="0" collapsed="false">
      <c r="B34" s="67"/>
      <c r="C34" s="67"/>
      <c r="D34" s="67"/>
    </row>
    <row r="35" customFormat="false" ht="15.75" hidden="false" customHeight="true" outlineLevel="0" collapsed="false">
      <c r="B35" s="67"/>
      <c r="C35" s="67"/>
      <c r="D35" s="67"/>
    </row>
    <row r="36" customFormat="false" ht="15.75" hidden="false" customHeight="true" outlineLevel="0" collapsed="false">
      <c r="B36" s="67"/>
      <c r="C36" s="67"/>
      <c r="D36" s="67"/>
    </row>
    <row r="37" customFormat="false" ht="15.75" hidden="false" customHeight="true" outlineLevel="0" collapsed="false">
      <c r="B37" s="67"/>
      <c r="C37" s="67"/>
      <c r="D37" s="67"/>
    </row>
    <row r="38" customFormat="false" ht="15.75" hidden="false" customHeight="true" outlineLevel="0" collapsed="false">
      <c r="B38" s="67"/>
      <c r="C38" s="67"/>
      <c r="D38" s="67"/>
    </row>
    <row r="39" customFormat="false" ht="15.75" hidden="false" customHeight="true" outlineLevel="0" collapsed="false">
      <c r="B39" s="67"/>
      <c r="C39" s="67"/>
      <c r="D39" s="67"/>
    </row>
    <row r="40" customFormat="false" ht="15.75" hidden="false" customHeight="true" outlineLevel="0" collapsed="false">
      <c r="B40" s="67"/>
      <c r="C40" s="67"/>
      <c r="D40" s="67"/>
    </row>
    <row r="41" customFormat="false" ht="15.75" hidden="false" customHeight="true" outlineLevel="0" collapsed="false">
      <c r="B41" s="67"/>
      <c r="C41" s="67"/>
      <c r="D41" s="67"/>
    </row>
    <row r="42" customFormat="false" ht="15.75" hidden="false" customHeight="true" outlineLevel="0" collapsed="false">
      <c r="B42" s="67"/>
      <c r="C42" s="67"/>
      <c r="D42" s="67"/>
    </row>
    <row r="43" customFormat="false" ht="15.75" hidden="false" customHeight="true" outlineLevel="0" collapsed="false">
      <c r="B43" s="67"/>
      <c r="C43" s="67"/>
      <c r="D43" s="67"/>
    </row>
    <row r="44" customFormat="false" ht="15.75" hidden="false" customHeight="true" outlineLevel="0" collapsed="false">
      <c r="B44" s="67"/>
      <c r="C44" s="67"/>
      <c r="D44" s="67"/>
    </row>
    <row r="45" customFormat="false" ht="15.75" hidden="false" customHeight="true" outlineLevel="0" collapsed="false">
      <c r="B45" s="67"/>
      <c r="C45" s="67"/>
      <c r="D45" s="67"/>
    </row>
    <row r="46" customFormat="false" ht="15.75" hidden="false" customHeight="true" outlineLevel="0" collapsed="false">
      <c r="B46" s="67"/>
      <c r="C46" s="67"/>
      <c r="D46" s="67"/>
    </row>
    <row r="47" customFormat="false" ht="15.75" hidden="false" customHeight="true" outlineLevel="0" collapsed="false">
      <c r="B47" s="67"/>
      <c r="C47" s="67"/>
      <c r="D47" s="67"/>
    </row>
    <row r="48" customFormat="false" ht="15.75" hidden="false" customHeight="true" outlineLevel="0" collapsed="false">
      <c r="B48" s="67"/>
      <c r="C48" s="67"/>
      <c r="D48" s="67"/>
    </row>
    <row r="49" customFormat="false" ht="15.75" hidden="false" customHeight="true" outlineLevel="0" collapsed="false">
      <c r="B49" s="67"/>
      <c r="C49" s="67"/>
      <c r="D49" s="67"/>
    </row>
    <row r="50" customFormat="false" ht="15.75" hidden="false" customHeight="true" outlineLevel="0" collapsed="false">
      <c r="B50" s="67"/>
      <c r="C50" s="67"/>
      <c r="D50" s="67"/>
    </row>
    <row r="51" customFormat="false" ht="15.75" hidden="false" customHeight="true" outlineLevel="0" collapsed="false">
      <c r="B51" s="67"/>
      <c r="C51" s="67"/>
      <c r="D51" s="67"/>
    </row>
    <row r="52" customFormat="false" ht="15.75" hidden="false" customHeight="true" outlineLevel="0" collapsed="false">
      <c r="B52" s="67"/>
      <c r="C52" s="67"/>
      <c r="D52" s="67"/>
    </row>
    <row r="53" customFormat="false" ht="15.75" hidden="false" customHeight="true" outlineLevel="0" collapsed="false">
      <c r="B53" s="67"/>
      <c r="C53" s="67"/>
      <c r="D53" s="67"/>
    </row>
    <row r="54" customFormat="false" ht="15.75" hidden="false" customHeight="true" outlineLevel="0" collapsed="false">
      <c r="B54" s="67"/>
      <c r="C54" s="67"/>
      <c r="D54" s="67"/>
    </row>
    <row r="55" customFormat="false" ht="15.75" hidden="false" customHeight="true" outlineLevel="0" collapsed="false">
      <c r="B55" s="67"/>
      <c r="C55" s="67"/>
      <c r="D55" s="67"/>
    </row>
    <row r="56" customFormat="false" ht="15.75" hidden="false" customHeight="true" outlineLevel="0" collapsed="false">
      <c r="B56" s="67"/>
      <c r="C56" s="67"/>
      <c r="D56" s="67"/>
    </row>
    <row r="57" customFormat="false" ht="15.75" hidden="false" customHeight="true" outlineLevel="0" collapsed="false">
      <c r="B57" s="67"/>
      <c r="C57" s="67"/>
      <c r="D57" s="67"/>
    </row>
    <row r="58" customFormat="false" ht="15.75" hidden="false" customHeight="true" outlineLevel="0" collapsed="false">
      <c r="B58" s="67"/>
      <c r="C58" s="67"/>
      <c r="D58" s="67"/>
    </row>
    <row r="59" customFormat="false" ht="15.75" hidden="false" customHeight="true" outlineLevel="0" collapsed="false">
      <c r="B59" s="67"/>
      <c r="C59" s="67"/>
      <c r="D59" s="67"/>
    </row>
    <row r="60" customFormat="false" ht="15.75" hidden="false" customHeight="true" outlineLevel="0" collapsed="false">
      <c r="B60" s="67"/>
      <c r="C60" s="67"/>
      <c r="D60" s="67"/>
    </row>
    <row r="61" customFormat="false" ht="15.75" hidden="false" customHeight="true" outlineLevel="0" collapsed="false">
      <c r="B61" s="67"/>
      <c r="C61" s="67"/>
      <c r="D61" s="67"/>
    </row>
    <row r="62" customFormat="false" ht="15.75" hidden="false" customHeight="true" outlineLevel="0" collapsed="false">
      <c r="B62" s="67"/>
      <c r="C62" s="67"/>
      <c r="D62" s="67"/>
    </row>
    <row r="63" customFormat="false" ht="15.75" hidden="false" customHeight="true" outlineLevel="0" collapsed="false">
      <c r="B63" s="67"/>
      <c r="C63" s="67"/>
      <c r="D63" s="67"/>
    </row>
    <row r="64" customFormat="false" ht="15.75" hidden="false" customHeight="true" outlineLevel="0" collapsed="false">
      <c r="B64" s="67"/>
      <c r="C64" s="67"/>
      <c r="D64" s="67"/>
    </row>
    <row r="65" customFormat="false" ht="15.75" hidden="false" customHeight="true" outlineLevel="0" collapsed="false">
      <c r="B65" s="67"/>
      <c r="C65" s="67"/>
      <c r="D65" s="67"/>
    </row>
    <row r="66" customFormat="false" ht="15.75" hidden="false" customHeight="true" outlineLevel="0" collapsed="false">
      <c r="B66" s="67"/>
      <c r="C66" s="67"/>
      <c r="D66" s="67"/>
    </row>
    <row r="67" customFormat="false" ht="15.75" hidden="false" customHeight="true" outlineLevel="0" collapsed="false">
      <c r="B67" s="67"/>
      <c r="C67" s="67"/>
      <c r="D67" s="67"/>
    </row>
    <row r="68" customFormat="false" ht="15.75" hidden="false" customHeight="true" outlineLevel="0" collapsed="false">
      <c r="B68" s="67"/>
      <c r="C68" s="67"/>
      <c r="D68" s="67"/>
    </row>
    <row r="69" customFormat="false" ht="15.75" hidden="false" customHeight="true" outlineLevel="0" collapsed="false">
      <c r="B69" s="67"/>
      <c r="C69" s="67"/>
      <c r="D69" s="67"/>
    </row>
    <row r="70" customFormat="false" ht="15.75" hidden="false" customHeight="true" outlineLevel="0" collapsed="false">
      <c r="B70" s="67"/>
      <c r="C70" s="67"/>
      <c r="D70" s="67"/>
    </row>
    <row r="71" customFormat="false" ht="15.75" hidden="false" customHeight="true" outlineLevel="0" collapsed="false">
      <c r="B71" s="67"/>
      <c r="C71" s="67"/>
      <c r="D71" s="67"/>
    </row>
    <row r="72" customFormat="false" ht="15.75" hidden="false" customHeight="true" outlineLevel="0" collapsed="false">
      <c r="B72" s="67"/>
      <c r="C72" s="67"/>
      <c r="D72" s="67"/>
    </row>
    <row r="73" customFormat="false" ht="15.75" hidden="false" customHeight="true" outlineLevel="0" collapsed="false">
      <c r="B73" s="67"/>
      <c r="C73" s="67"/>
      <c r="D73" s="67"/>
    </row>
    <row r="74" customFormat="false" ht="15.75" hidden="false" customHeight="true" outlineLevel="0" collapsed="false">
      <c r="B74" s="67"/>
      <c r="C74" s="67"/>
      <c r="D74" s="67"/>
    </row>
    <row r="75" customFormat="false" ht="15.75" hidden="false" customHeight="true" outlineLevel="0" collapsed="false">
      <c r="B75" s="67"/>
      <c r="C75" s="67"/>
      <c r="D75" s="67"/>
    </row>
    <row r="76" customFormat="false" ht="15.75" hidden="false" customHeight="true" outlineLevel="0" collapsed="false">
      <c r="B76" s="67"/>
      <c r="C76" s="67"/>
      <c r="D76" s="67"/>
    </row>
    <row r="77" customFormat="false" ht="15.75" hidden="false" customHeight="true" outlineLevel="0" collapsed="false">
      <c r="B77" s="67"/>
      <c r="C77" s="67"/>
      <c r="D77" s="67"/>
    </row>
    <row r="78" customFormat="false" ht="15.75" hidden="false" customHeight="true" outlineLevel="0" collapsed="false">
      <c r="B78" s="67"/>
      <c r="C78" s="67"/>
      <c r="D78" s="67"/>
    </row>
    <row r="79" customFormat="false" ht="15.75" hidden="false" customHeight="true" outlineLevel="0" collapsed="false">
      <c r="B79" s="67"/>
      <c r="C79" s="67"/>
      <c r="D79" s="67"/>
    </row>
    <row r="80" customFormat="false" ht="15.75" hidden="false" customHeight="true" outlineLevel="0" collapsed="false">
      <c r="B80" s="67"/>
      <c r="C80" s="67"/>
      <c r="D80" s="67"/>
    </row>
    <row r="81" customFormat="false" ht="15.75" hidden="false" customHeight="true" outlineLevel="0" collapsed="false">
      <c r="B81" s="67"/>
      <c r="C81" s="67"/>
      <c r="D81" s="67"/>
    </row>
    <row r="82" customFormat="false" ht="15.75" hidden="false" customHeight="true" outlineLevel="0" collapsed="false">
      <c r="B82" s="67"/>
      <c r="C82" s="67"/>
      <c r="D82" s="67"/>
    </row>
    <row r="83" customFormat="false" ht="15.75" hidden="false" customHeight="true" outlineLevel="0" collapsed="false">
      <c r="B83" s="67"/>
      <c r="C83" s="67"/>
      <c r="D83" s="67"/>
    </row>
    <row r="84" customFormat="false" ht="15.75" hidden="false" customHeight="true" outlineLevel="0" collapsed="false">
      <c r="B84" s="67"/>
      <c r="C84" s="67"/>
      <c r="D84" s="67"/>
    </row>
    <row r="85" customFormat="false" ht="15.75" hidden="false" customHeight="true" outlineLevel="0" collapsed="false">
      <c r="B85" s="67"/>
      <c r="C85" s="67"/>
      <c r="D85" s="67"/>
    </row>
    <row r="86" customFormat="false" ht="15.75" hidden="false" customHeight="true" outlineLevel="0" collapsed="false">
      <c r="B86" s="67"/>
      <c r="C86" s="67"/>
      <c r="D86" s="67"/>
    </row>
    <row r="87" customFormat="false" ht="15.75" hidden="false" customHeight="true" outlineLevel="0" collapsed="false">
      <c r="B87" s="67"/>
      <c r="C87" s="67"/>
      <c r="D87" s="67"/>
    </row>
    <row r="88" customFormat="false" ht="15.75" hidden="false" customHeight="true" outlineLevel="0" collapsed="false">
      <c r="B88" s="67"/>
      <c r="C88" s="67"/>
      <c r="D88" s="67"/>
    </row>
    <row r="89" customFormat="false" ht="15.75" hidden="false" customHeight="true" outlineLevel="0" collapsed="false">
      <c r="B89" s="67"/>
      <c r="C89" s="67"/>
      <c r="D89" s="67"/>
    </row>
    <row r="90" customFormat="false" ht="15.75" hidden="false" customHeight="true" outlineLevel="0" collapsed="false">
      <c r="B90" s="67"/>
      <c r="C90" s="67"/>
      <c r="D90" s="67"/>
    </row>
    <row r="91" customFormat="false" ht="15.75" hidden="false" customHeight="true" outlineLevel="0" collapsed="false">
      <c r="B91" s="67"/>
      <c r="C91" s="67"/>
      <c r="D91" s="67"/>
    </row>
    <row r="92" customFormat="false" ht="15.75" hidden="false" customHeight="true" outlineLevel="0" collapsed="false">
      <c r="B92" s="67"/>
      <c r="C92" s="67"/>
      <c r="D92" s="67"/>
    </row>
    <row r="93" customFormat="false" ht="15.75" hidden="false" customHeight="true" outlineLevel="0" collapsed="false">
      <c r="B93" s="67"/>
      <c r="C93" s="67"/>
      <c r="D93" s="67"/>
    </row>
    <row r="94" customFormat="false" ht="15.75" hidden="false" customHeight="true" outlineLevel="0" collapsed="false">
      <c r="B94" s="67"/>
      <c r="C94" s="67"/>
      <c r="D94" s="67"/>
    </row>
    <row r="95" customFormat="false" ht="15.75" hidden="false" customHeight="true" outlineLevel="0" collapsed="false">
      <c r="B95" s="67"/>
      <c r="C95" s="67"/>
      <c r="D95" s="67"/>
    </row>
    <row r="96" customFormat="false" ht="15.75" hidden="false" customHeight="true" outlineLevel="0" collapsed="false">
      <c r="B96" s="67"/>
      <c r="C96" s="67"/>
      <c r="D96" s="67"/>
    </row>
    <row r="97" customFormat="false" ht="15.75" hidden="false" customHeight="true" outlineLevel="0" collapsed="false">
      <c r="B97" s="67"/>
      <c r="C97" s="67"/>
      <c r="D97" s="67"/>
    </row>
    <row r="98" customFormat="false" ht="15.75" hidden="false" customHeight="true" outlineLevel="0" collapsed="false">
      <c r="B98" s="67"/>
      <c r="C98" s="67"/>
      <c r="D98" s="67"/>
    </row>
    <row r="99" customFormat="false" ht="15.75" hidden="false" customHeight="true" outlineLevel="0" collapsed="false">
      <c r="B99" s="67"/>
      <c r="C99" s="67"/>
      <c r="D99" s="67"/>
    </row>
    <row r="100" customFormat="false" ht="15.75" hidden="false" customHeight="true" outlineLevel="0" collapsed="false">
      <c r="B100" s="67"/>
      <c r="C100" s="67"/>
      <c r="D100" s="67"/>
    </row>
    <row r="101" customFormat="false" ht="15.75" hidden="false" customHeight="true" outlineLevel="0" collapsed="false">
      <c r="B101" s="67"/>
      <c r="C101" s="67"/>
      <c r="D101" s="67"/>
    </row>
    <row r="102" customFormat="false" ht="15.75" hidden="false" customHeight="true" outlineLevel="0" collapsed="false">
      <c r="B102" s="67"/>
      <c r="C102" s="67"/>
      <c r="D102" s="67"/>
    </row>
    <row r="103" customFormat="false" ht="15.75" hidden="false" customHeight="true" outlineLevel="0" collapsed="false">
      <c r="B103" s="67"/>
      <c r="C103" s="67"/>
      <c r="D103" s="67"/>
    </row>
    <row r="104" customFormat="false" ht="15.75" hidden="false" customHeight="true" outlineLevel="0" collapsed="false">
      <c r="B104" s="67"/>
      <c r="C104" s="67"/>
      <c r="D104" s="67"/>
    </row>
    <row r="105" customFormat="false" ht="15.75" hidden="false" customHeight="true" outlineLevel="0" collapsed="false">
      <c r="B105" s="67"/>
      <c r="C105" s="67"/>
      <c r="D105" s="67"/>
    </row>
    <row r="106" customFormat="false" ht="15.75" hidden="false" customHeight="true" outlineLevel="0" collapsed="false">
      <c r="B106" s="67"/>
      <c r="C106" s="67"/>
      <c r="D106" s="67"/>
    </row>
    <row r="107" customFormat="false" ht="15.75" hidden="false" customHeight="true" outlineLevel="0" collapsed="false">
      <c r="B107" s="67"/>
      <c r="C107" s="67"/>
      <c r="D107" s="67"/>
    </row>
    <row r="108" customFormat="false" ht="15.75" hidden="false" customHeight="true" outlineLevel="0" collapsed="false">
      <c r="B108" s="67"/>
      <c r="C108" s="67"/>
      <c r="D108" s="67"/>
    </row>
    <row r="109" customFormat="false" ht="15.75" hidden="false" customHeight="true" outlineLevel="0" collapsed="false">
      <c r="B109" s="67"/>
      <c r="C109" s="67"/>
      <c r="D109" s="67"/>
    </row>
    <row r="110" customFormat="false" ht="15.75" hidden="false" customHeight="true" outlineLevel="0" collapsed="false">
      <c r="B110" s="67"/>
      <c r="C110" s="67"/>
      <c r="D110" s="67"/>
    </row>
    <row r="111" customFormat="false" ht="15.75" hidden="false" customHeight="true" outlineLevel="0" collapsed="false">
      <c r="B111" s="67"/>
      <c r="C111" s="67"/>
      <c r="D111" s="67"/>
    </row>
    <row r="112" customFormat="false" ht="15.75" hidden="false" customHeight="true" outlineLevel="0" collapsed="false">
      <c r="B112" s="67"/>
      <c r="C112" s="67"/>
      <c r="D112" s="67"/>
    </row>
    <row r="113" customFormat="false" ht="15.75" hidden="false" customHeight="true" outlineLevel="0" collapsed="false">
      <c r="B113" s="67"/>
      <c r="C113" s="67"/>
      <c r="D113" s="67"/>
    </row>
    <row r="114" customFormat="false" ht="15.75" hidden="false" customHeight="true" outlineLevel="0" collapsed="false">
      <c r="B114" s="67"/>
      <c r="C114" s="67"/>
      <c r="D114" s="67"/>
    </row>
    <row r="115" customFormat="false" ht="15.75" hidden="false" customHeight="true" outlineLevel="0" collapsed="false">
      <c r="B115" s="67"/>
      <c r="C115" s="67"/>
      <c r="D115" s="67"/>
    </row>
    <row r="116" customFormat="false" ht="15.75" hidden="false" customHeight="true" outlineLevel="0" collapsed="false">
      <c r="B116" s="67"/>
      <c r="C116" s="67"/>
      <c r="D116" s="67"/>
    </row>
    <row r="117" customFormat="false" ht="15.75" hidden="false" customHeight="true" outlineLevel="0" collapsed="false">
      <c r="B117" s="67"/>
      <c r="C117" s="67"/>
      <c r="D117" s="67"/>
    </row>
    <row r="118" customFormat="false" ht="15.75" hidden="false" customHeight="true" outlineLevel="0" collapsed="false">
      <c r="B118" s="67"/>
      <c r="C118" s="67"/>
      <c r="D118" s="67"/>
    </row>
    <row r="119" customFormat="false" ht="15.75" hidden="false" customHeight="true" outlineLevel="0" collapsed="false">
      <c r="B119" s="67"/>
      <c r="C119" s="67"/>
      <c r="D119" s="67"/>
    </row>
    <row r="120" customFormat="false" ht="15.75" hidden="false" customHeight="true" outlineLevel="0" collapsed="false">
      <c r="B120" s="67"/>
      <c r="C120" s="67"/>
      <c r="D120" s="67"/>
    </row>
    <row r="121" customFormat="false" ht="15.75" hidden="false" customHeight="true" outlineLevel="0" collapsed="false">
      <c r="B121" s="67"/>
      <c r="C121" s="67"/>
      <c r="D121" s="67"/>
    </row>
    <row r="122" customFormat="false" ht="15.75" hidden="false" customHeight="true" outlineLevel="0" collapsed="false">
      <c r="B122" s="67"/>
      <c r="C122" s="67"/>
      <c r="D122" s="67"/>
    </row>
    <row r="123" customFormat="false" ht="15.75" hidden="false" customHeight="true" outlineLevel="0" collapsed="false">
      <c r="B123" s="67"/>
      <c r="C123" s="67"/>
      <c r="D123" s="67"/>
    </row>
    <row r="124" customFormat="false" ht="15.75" hidden="false" customHeight="true" outlineLevel="0" collapsed="false">
      <c r="B124" s="67"/>
      <c r="C124" s="67"/>
      <c r="D124" s="67"/>
    </row>
    <row r="125" customFormat="false" ht="15.75" hidden="false" customHeight="true" outlineLevel="0" collapsed="false">
      <c r="B125" s="67"/>
      <c r="C125" s="67"/>
      <c r="D125" s="67"/>
    </row>
    <row r="126" customFormat="false" ht="15.75" hidden="false" customHeight="true" outlineLevel="0" collapsed="false">
      <c r="B126" s="67"/>
      <c r="C126" s="67"/>
      <c r="D126" s="67"/>
    </row>
    <row r="127" customFormat="false" ht="15.75" hidden="false" customHeight="true" outlineLevel="0" collapsed="false">
      <c r="B127" s="67"/>
      <c r="C127" s="67"/>
      <c r="D127" s="67"/>
    </row>
    <row r="128" customFormat="false" ht="15.75" hidden="false" customHeight="true" outlineLevel="0" collapsed="false">
      <c r="B128" s="67"/>
      <c r="C128" s="67"/>
      <c r="D128" s="67"/>
    </row>
    <row r="129" customFormat="false" ht="15.75" hidden="false" customHeight="true" outlineLevel="0" collapsed="false">
      <c r="B129" s="67"/>
      <c r="C129" s="67"/>
      <c r="D129" s="67"/>
    </row>
    <row r="130" customFormat="false" ht="15.75" hidden="false" customHeight="true" outlineLevel="0" collapsed="false">
      <c r="B130" s="67"/>
      <c r="C130" s="67"/>
      <c r="D130" s="67"/>
    </row>
    <row r="131" customFormat="false" ht="15.75" hidden="false" customHeight="true" outlineLevel="0" collapsed="false">
      <c r="B131" s="67"/>
      <c r="C131" s="67"/>
      <c r="D131" s="67"/>
    </row>
    <row r="132" customFormat="false" ht="15.75" hidden="false" customHeight="true" outlineLevel="0" collapsed="false">
      <c r="B132" s="67"/>
      <c r="C132" s="67"/>
      <c r="D132" s="67"/>
    </row>
    <row r="133" customFormat="false" ht="15.75" hidden="false" customHeight="true" outlineLevel="0" collapsed="false">
      <c r="B133" s="67"/>
      <c r="C133" s="67"/>
      <c r="D133" s="67"/>
    </row>
    <row r="134" customFormat="false" ht="15.75" hidden="false" customHeight="true" outlineLevel="0" collapsed="false">
      <c r="B134" s="67"/>
      <c r="C134" s="67"/>
      <c r="D134" s="67"/>
    </row>
    <row r="135" customFormat="false" ht="15.75" hidden="false" customHeight="true" outlineLevel="0" collapsed="false">
      <c r="B135" s="67"/>
      <c r="C135" s="67"/>
      <c r="D135" s="67"/>
    </row>
    <row r="136" customFormat="false" ht="15.75" hidden="false" customHeight="true" outlineLevel="0" collapsed="false">
      <c r="B136" s="67"/>
      <c r="C136" s="67"/>
      <c r="D136" s="67"/>
    </row>
    <row r="137" customFormat="false" ht="15.75" hidden="false" customHeight="true" outlineLevel="0" collapsed="false">
      <c r="B137" s="67"/>
      <c r="C137" s="67"/>
      <c r="D137" s="67"/>
    </row>
    <row r="138" customFormat="false" ht="15.75" hidden="false" customHeight="true" outlineLevel="0" collapsed="false">
      <c r="B138" s="67"/>
      <c r="C138" s="67"/>
      <c r="D138" s="67"/>
    </row>
    <row r="139" customFormat="false" ht="15.75" hidden="false" customHeight="true" outlineLevel="0" collapsed="false">
      <c r="B139" s="67"/>
      <c r="C139" s="67"/>
      <c r="D139" s="67"/>
    </row>
    <row r="140" customFormat="false" ht="15.75" hidden="false" customHeight="true" outlineLevel="0" collapsed="false">
      <c r="B140" s="67"/>
      <c r="C140" s="67"/>
      <c r="D140" s="67"/>
    </row>
    <row r="141" customFormat="false" ht="15.75" hidden="false" customHeight="true" outlineLevel="0" collapsed="false">
      <c r="B141" s="67"/>
      <c r="C141" s="67"/>
      <c r="D141" s="67"/>
    </row>
    <row r="142" customFormat="false" ht="15.75" hidden="false" customHeight="true" outlineLevel="0" collapsed="false">
      <c r="B142" s="67"/>
      <c r="C142" s="67"/>
      <c r="D142" s="67"/>
    </row>
    <row r="143" customFormat="false" ht="15.75" hidden="false" customHeight="true" outlineLevel="0" collapsed="false">
      <c r="B143" s="67"/>
      <c r="C143" s="67"/>
      <c r="D143" s="67"/>
    </row>
    <row r="144" customFormat="false" ht="15.75" hidden="false" customHeight="true" outlineLevel="0" collapsed="false">
      <c r="B144" s="67"/>
      <c r="C144" s="67"/>
      <c r="D144" s="67"/>
    </row>
    <row r="145" customFormat="false" ht="15.75" hidden="false" customHeight="true" outlineLevel="0" collapsed="false">
      <c r="B145" s="67"/>
      <c r="C145" s="67"/>
      <c r="D145" s="67"/>
    </row>
    <row r="146" customFormat="false" ht="15.75" hidden="false" customHeight="true" outlineLevel="0" collapsed="false">
      <c r="B146" s="67"/>
      <c r="C146" s="67"/>
      <c r="D146" s="67"/>
    </row>
    <row r="147" customFormat="false" ht="15.75" hidden="false" customHeight="true" outlineLevel="0" collapsed="false">
      <c r="B147" s="67"/>
      <c r="C147" s="67"/>
      <c r="D147" s="67"/>
    </row>
    <row r="148" customFormat="false" ht="15.75" hidden="false" customHeight="true" outlineLevel="0" collapsed="false">
      <c r="B148" s="67"/>
      <c r="C148" s="67"/>
      <c r="D148" s="67"/>
    </row>
    <row r="149" customFormat="false" ht="15.75" hidden="false" customHeight="true" outlineLevel="0" collapsed="false">
      <c r="B149" s="67"/>
      <c r="C149" s="67"/>
      <c r="D149" s="67"/>
    </row>
    <row r="150" customFormat="false" ht="15.75" hidden="false" customHeight="true" outlineLevel="0" collapsed="false">
      <c r="B150" s="67"/>
      <c r="C150" s="67"/>
      <c r="D150" s="67"/>
    </row>
    <row r="151" customFormat="false" ht="15.75" hidden="false" customHeight="true" outlineLevel="0" collapsed="false">
      <c r="B151" s="67"/>
      <c r="C151" s="67"/>
      <c r="D151" s="67"/>
    </row>
    <row r="152" customFormat="false" ht="15.75" hidden="false" customHeight="true" outlineLevel="0" collapsed="false">
      <c r="B152" s="67"/>
      <c r="C152" s="67"/>
      <c r="D152" s="67"/>
    </row>
    <row r="153" customFormat="false" ht="15.75" hidden="false" customHeight="true" outlineLevel="0" collapsed="false">
      <c r="B153" s="67"/>
      <c r="C153" s="67"/>
      <c r="D153" s="67"/>
    </row>
    <row r="154" customFormat="false" ht="15.75" hidden="false" customHeight="true" outlineLevel="0" collapsed="false">
      <c r="B154" s="67"/>
      <c r="C154" s="67"/>
      <c r="D154" s="67"/>
    </row>
    <row r="155" customFormat="false" ht="15.75" hidden="false" customHeight="true" outlineLevel="0" collapsed="false">
      <c r="B155" s="67"/>
      <c r="C155" s="67"/>
      <c r="D155" s="67"/>
    </row>
    <row r="156" customFormat="false" ht="15.75" hidden="false" customHeight="true" outlineLevel="0" collapsed="false">
      <c r="B156" s="67"/>
      <c r="C156" s="67"/>
      <c r="D156" s="67"/>
    </row>
    <row r="157" customFormat="false" ht="15.75" hidden="false" customHeight="true" outlineLevel="0" collapsed="false">
      <c r="B157" s="67"/>
      <c r="C157" s="67"/>
      <c r="D157" s="67"/>
    </row>
    <row r="158" customFormat="false" ht="15.75" hidden="false" customHeight="true" outlineLevel="0" collapsed="false">
      <c r="B158" s="67"/>
      <c r="C158" s="67"/>
      <c r="D158" s="67"/>
    </row>
    <row r="159" customFormat="false" ht="15.75" hidden="false" customHeight="true" outlineLevel="0" collapsed="false">
      <c r="B159" s="67"/>
      <c r="C159" s="67"/>
      <c r="D159" s="67"/>
    </row>
    <row r="160" customFormat="false" ht="15.75" hidden="false" customHeight="true" outlineLevel="0" collapsed="false">
      <c r="B160" s="67"/>
      <c r="C160" s="67"/>
      <c r="D160" s="67"/>
    </row>
    <row r="161" customFormat="false" ht="15.75" hidden="false" customHeight="true" outlineLevel="0" collapsed="false">
      <c r="B161" s="67"/>
      <c r="C161" s="67"/>
      <c r="D161" s="67"/>
    </row>
    <row r="162" customFormat="false" ht="15.75" hidden="false" customHeight="true" outlineLevel="0" collapsed="false">
      <c r="B162" s="67"/>
      <c r="C162" s="67"/>
      <c r="D162" s="67"/>
    </row>
    <row r="163" customFormat="false" ht="15.75" hidden="false" customHeight="true" outlineLevel="0" collapsed="false">
      <c r="B163" s="67"/>
      <c r="C163" s="67"/>
      <c r="D163" s="67"/>
    </row>
    <row r="164" customFormat="false" ht="15.75" hidden="false" customHeight="true" outlineLevel="0" collapsed="false">
      <c r="B164" s="67"/>
      <c r="C164" s="67"/>
      <c r="D164" s="67"/>
    </row>
    <row r="165" customFormat="false" ht="15.75" hidden="false" customHeight="true" outlineLevel="0" collapsed="false">
      <c r="B165" s="67"/>
      <c r="C165" s="67"/>
      <c r="D165" s="67"/>
    </row>
    <row r="166" customFormat="false" ht="15.75" hidden="false" customHeight="true" outlineLevel="0" collapsed="false">
      <c r="B166" s="67"/>
      <c r="C166" s="67"/>
      <c r="D166" s="67"/>
    </row>
    <row r="167" customFormat="false" ht="15.75" hidden="false" customHeight="true" outlineLevel="0" collapsed="false">
      <c r="B167" s="67"/>
      <c r="C167" s="67"/>
      <c r="D167" s="67"/>
    </row>
    <row r="168" customFormat="false" ht="15.75" hidden="false" customHeight="true" outlineLevel="0" collapsed="false">
      <c r="B168" s="67"/>
      <c r="C168" s="67"/>
      <c r="D168" s="67"/>
    </row>
    <row r="169" customFormat="false" ht="15.75" hidden="false" customHeight="true" outlineLevel="0" collapsed="false">
      <c r="B169" s="67"/>
      <c r="C169" s="67"/>
      <c r="D169" s="67"/>
    </row>
    <row r="170" customFormat="false" ht="15.75" hidden="false" customHeight="true" outlineLevel="0" collapsed="false">
      <c r="B170" s="67"/>
      <c r="C170" s="67"/>
      <c r="D170" s="67"/>
    </row>
    <row r="171" customFormat="false" ht="15.75" hidden="false" customHeight="true" outlineLevel="0" collapsed="false">
      <c r="B171" s="67"/>
      <c r="C171" s="67"/>
      <c r="D171" s="67"/>
    </row>
    <row r="172" customFormat="false" ht="15.75" hidden="false" customHeight="true" outlineLevel="0" collapsed="false">
      <c r="B172" s="67"/>
      <c r="C172" s="67"/>
      <c r="D172" s="67"/>
    </row>
    <row r="173" customFormat="false" ht="15.75" hidden="false" customHeight="true" outlineLevel="0" collapsed="false">
      <c r="B173" s="67"/>
      <c r="C173" s="67"/>
      <c r="D173" s="67"/>
    </row>
    <row r="174" customFormat="false" ht="15.75" hidden="false" customHeight="true" outlineLevel="0" collapsed="false">
      <c r="B174" s="67"/>
      <c r="C174" s="67"/>
      <c r="D174" s="67"/>
    </row>
    <row r="175" customFormat="false" ht="15.75" hidden="false" customHeight="true" outlineLevel="0" collapsed="false">
      <c r="B175" s="67"/>
      <c r="C175" s="67"/>
      <c r="D175" s="67"/>
    </row>
    <row r="176" customFormat="false" ht="15.75" hidden="false" customHeight="true" outlineLevel="0" collapsed="false">
      <c r="B176" s="67"/>
      <c r="C176" s="67"/>
      <c r="D176" s="67"/>
    </row>
    <row r="177" customFormat="false" ht="15.75" hidden="false" customHeight="true" outlineLevel="0" collapsed="false">
      <c r="B177" s="67"/>
      <c r="C177" s="67"/>
      <c r="D177" s="67"/>
    </row>
    <row r="178" customFormat="false" ht="15.75" hidden="false" customHeight="true" outlineLevel="0" collapsed="false">
      <c r="B178" s="67"/>
      <c r="C178" s="67"/>
      <c r="D178" s="67"/>
    </row>
    <row r="179" customFormat="false" ht="15.75" hidden="false" customHeight="true" outlineLevel="0" collapsed="false">
      <c r="B179" s="67"/>
      <c r="C179" s="67"/>
      <c r="D179" s="67"/>
    </row>
    <row r="180" customFormat="false" ht="15.75" hidden="false" customHeight="true" outlineLevel="0" collapsed="false">
      <c r="B180" s="67"/>
      <c r="C180" s="67"/>
      <c r="D180" s="67"/>
    </row>
    <row r="181" customFormat="false" ht="15.75" hidden="false" customHeight="true" outlineLevel="0" collapsed="false">
      <c r="B181" s="67"/>
      <c r="C181" s="67"/>
      <c r="D181" s="67"/>
    </row>
    <row r="182" customFormat="false" ht="15.75" hidden="false" customHeight="true" outlineLevel="0" collapsed="false">
      <c r="B182" s="67"/>
      <c r="C182" s="67"/>
      <c r="D182" s="67"/>
    </row>
    <row r="183" customFormat="false" ht="15.75" hidden="false" customHeight="true" outlineLevel="0" collapsed="false">
      <c r="B183" s="67"/>
      <c r="C183" s="67"/>
      <c r="D183" s="67"/>
    </row>
    <row r="184" customFormat="false" ht="15.75" hidden="false" customHeight="true" outlineLevel="0" collapsed="false">
      <c r="B184" s="67"/>
      <c r="C184" s="67"/>
      <c r="D184" s="67"/>
    </row>
    <row r="185" customFormat="false" ht="15.75" hidden="false" customHeight="true" outlineLevel="0" collapsed="false">
      <c r="B185" s="67"/>
      <c r="C185" s="67"/>
      <c r="D185" s="67"/>
    </row>
    <row r="186" customFormat="false" ht="15.75" hidden="false" customHeight="true" outlineLevel="0" collapsed="false">
      <c r="B186" s="67"/>
      <c r="C186" s="67"/>
      <c r="D186" s="67"/>
    </row>
    <row r="187" customFormat="false" ht="15.75" hidden="false" customHeight="true" outlineLevel="0" collapsed="false">
      <c r="B187" s="67"/>
      <c r="C187" s="67"/>
      <c r="D187" s="67"/>
    </row>
    <row r="188" customFormat="false" ht="15.75" hidden="false" customHeight="true" outlineLevel="0" collapsed="false">
      <c r="B188" s="67"/>
      <c r="C188" s="67"/>
      <c r="D188" s="67"/>
    </row>
    <row r="189" customFormat="false" ht="15.75" hidden="false" customHeight="true" outlineLevel="0" collapsed="false">
      <c r="B189" s="67"/>
      <c r="C189" s="67"/>
      <c r="D189" s="67"/>
    </row>
    <row r="190" customFormat="false" ht="15.75" hidden="false" customHeight="true" outlineLevel="0" collapsed="false">
      <c r="B190" s="67"/>
      <c r="C190" s="67"/>
      <c r="D190" s="67"/>
    </row>
    <row r="191" customFormat="false" ht="15.75" hidden="false" customHeight="true" outlineLevel="0" collapsed="false">
      <c r="B191" s="67"/>
      <c r="C191" s="67"/>
      <c r="D191" s="67"/>
    </row>
    <row r="192" customFormat="false" ht="15.75" hidden="false" customHeight="true" outlineLevel="0" collapsed="false">
      <c r="B192" s="67"/>
      <c r="C192" s="67"/>
      <c r="D192" s="67"/>
    </row>
    <row r="193" customFormat="false" ht="15.75" hidden="false" customHeight="true" outlineLevel="0" collapsed="false">
      <c r="B193" s="67"/>
      <c r="C193" s="67"/>
      <c r="D193" s="67"/>
    </row>
    <row r="194" customFormat="false" ht="15.75" hidden="false" customHeight="true" outlineLevel="0" collapsed="false">
      <c r="B194" s="67"/>
      <c r="C194" s="67"/>
      <c r="D194" s="67"/>
    </row>
    <row r="195" customFormat="false" ht="15.75" hidden="false" customHeight="true" outlineLevel="0" collapsed="false">
      <c r="B195" s="67"/>
      <c r="C195" s="67"/>
      <c r="D195" s="67"/>
    </row>
    <row r="196" customFormat="false" ht="15.75" hidden="false" customHeight="true" outlineLevel="0" collapsed="false">
      <c r="B196" s="67"/>
      <c r="C196" s="67"/>
      <c r="D196" s="67"/>
    </row>
    <row r="197" customFormat="false" ht="15.75" hidden="false" customHeight="true" outlineLevel="0" collapsed="false">
      <c r="B197" s="67"/>
      <c r="C197" s="67"/>
      <c r="D197" s="67"/>
    </row>
    <row r="198" customFormat="false" ht="15.75" hidden="false" customHeight="true" outlineLevel="0" collapsed="false">
      <c r="B198" s="67"/>
      <c r="C198" s="67"/>
      <c r="D198" s="67"/>
    </row>
    <row r="199" customFormat="false" ht="15.75" hidden="false" customHeight="true" outlineLevel="0" collapsed="false">
      <c r="B199" s="67"/>
      <c r="C199" s="67"/>
      <c r="D199" s="67"/>
    </row>
    <row r="200" customFormat="false" ht="15.75" hidden="false" customHeight="true" outlineLevel="0" collapsed="false">
      <c r="B200" s="67"/>
      <c r="C200" s="67"/>
      <c r="D200" s="67"/>
    </row>
    <row r="201" customFormat="false" ht="15.75" hidden="false" customHeight="true" outlineLevel="0" collapsed="false">
      <c r="B201" s="67"/>
      <c r="C201" s="67"/>
      <c r="D201" s="67"/>
    </row>
    <row r="202" customFormat="false" ht="15.75" hidden="false" customHeight="true" outlineLevel="0" collapsed="false">
      <c r="B202" s="67"/>
      <c r="C202" s="67"/>
      <c r="D202" s="67"/>
    </row>
    <row r="203" customFormat="false" ht="15.75" hidden="false" customHeight="true" outlineLevel="0" collapsed="false">
      <c r="B203" s="67"/>
      <c r="C203" s="67"/>
      <c r="D203" s="67"/>
    </row>
    <row r="204" customFormat="false" ht="15.75" hidden="false" customHeight="true" outlineLevel="0" collapsed="false">
      <c r="B204" s="67"/>
      <c r="C204" s="67"/>
      <c r="D204" s="67"/>
    </row>
    <row r="205" customFormat="false" ht="15.75" hidden="false" customHeight="true" outlineLevel="0" collapsed="false">
      <c r="B205" s="67"/>
      <c r="C205" s="67"/>
      <c r="D205" s="67"/>
    </row>
    <row r="206" customFormat="false" ht="15.75" hidden="false" customHeight="true" outlineLevel="0" collapsed="false">
      <c r="B206" s="67"/>
      <c r="C206" s="67"/>
      <c r="D206" s="67"/>
    </row>
    <row r="207" customFormat="false" ht="15.75" hidden="false" customHeight="true" outlineLevel="0" collapsed="false">
      <c r="B207" s="67"/>
      <c r="C207" s="67"/>
      <c r="D207" s="67"/>
    </row>
    <row r="208" customFormat="false" ht="15.75" hidden="false" customHeight="true" outlineLevel="0" collapsed="false">
      <c r="B208" s="67"/>
      <c r="C208" s="67"/>
      <c r="D208" s="67"/>
    </row>
    <row r="209" customFormat="false" ht="15.75" hidden="false" customHeight="true" outlineLevel="0" collapsed="false">
      <c r="B209" s="67"/>
      <c r="C209" s="67"/>
      <c r="D209" s="67"/>
    </row>
    <row r="210" customFormat="false" ht="15.75" hidden="false" customHeight="true" outlineLevel="0" collapsed="false">
      <c r="B210" s="67"/>
      <c r="C210" s="67"/>
      <c r="D210" s="67"/>
    </row>
    <row r="211" customFormat="false" ht="15.75" hidden="false" customHeight="true" outlineLevel="0" collapsed="false">
      <c r="B211" s="67"/>
      <c r="C211" s="67"/>
      <c r="D211" s="67"/>
    </row>
    <row r="212" customFormat="false" ht="15.75" hidden="false" customHeight="true" outlineLevel="0" collapsed="false">
      <c r="B212" s="67"/>
      <c r="C212" s="67"/>
      <c r="D212" s="67"/>
    </row>
    <row r="213" customFormat="false" ht="15.75" hidden="false" customHeight="true" outlineLevel="0" collapsed="false">
      <c r="B213" s="67"/>
      <c r="C213" s="67"/>
      <c r="D213" s="67"/>
    </row>
    <row r="214" customFormat="false" ht="15.75" hidden="false" customHeight="true" outlineLevel="0" collapsed="false">
      <c r="B214" s="67"/>
      <c r="C214" s="67"/>
      <c r="D214" s="67"/>
    </row>
    <row r="215" customFormat="false" ht="15.75" hidden="false" customHeight="true" outlineLevel="0" collapsed="false">
      <c r="B215" s="67"/>
      <c r="C215" s="67"/>
      <c r="D215" s="67"/>
    </row>
    <row r="216" customFormat="false" ht="15.75" hidden="false" customHeight="true" outlineLevel="0" collapsed="false">
      <c r="B216" s="67"/>
      <c r="C216" s="67"/>
      <c r="D216" s="67"/>
    </row>
    <row r="217" customFormat="false" ht="15.75" hidden="false" customHeight="true" outlineLevel="0" collapsed="false">
      <c r="B217" s="67"/>
      <c r="C217" s="67"/>
      <c r="D217" s="67"/>
    </row>
    <row r="218" customFormat="false" ht="15.75" hidden="false" customHeight="true" outlineLevel="0" collapsed="false">
      <c r="B218" s="67"/>
      <c r="C218" s="67"/>
      <c r="D218" s="67"/>
    </row>
    <row r="219" customFormat="false" ht="15.75" hidden="false" customHeight="true" outlineLevel="0" collapsed="false">
      <c r="B219" s="67"/>
      <c r="C219" s="67"/>
      <c r="D219" s="67"/>
    </row>
    <row r="220" customFormat="false" ht="15.75" hidden="false" customHeight="true" outlineLevel="0" collapsed="false">
      <c r="B220" s="67"/>
      <c r="C220" s="67"/>
      <c r="D220" s="67"/>
    </row>
    <row r="221" customFormat="false" ht="15.75" hidden="false" customHeight="true" outlineLevel="0" collapsed="false">
      <c r="B221" s="67"/>
      <c r="C221" s="67"/>
      <c r="D221" s="67"/>
    </row>
    <row r="222" customFormat="false" ht="15.75" hidden="false" customHeight="true" outlineLevel="0" collapsed="false">
      <c r="B222" s="67"/>
      <c r="C222" s="67"/>
      <c r="D222" s="67"/>
    </row>
    <row r="223" customFormat="false" ht="15.75" hidden="false" customHeight="true" outlineLevel="0" collapsed="false">
      <c r="B223" s="67"/>
      <c r="C223" s="67"/>
      <c r="D223" s="67"/>
    </row>
    <row r="224" customFormat="false" ht="15.75" hidden="false" customHeight="true" outlineLevel="0" collapsed="false">
      <c r="B224" s="67"/>
      <c r="C224" s="67"/>
      <c r="D224" s="67"/>
    </row>
    <row r="225" customFormat="false" ht="15.75" hidden="false" customHeight="true" outlineLevel="0" collapsed="false">
      <c r="B225" s="67"/>
      <c r="C225" s="67"/>
      <c r="D225" s="67"/>
    </row>
    <row r="226" customFormat="false" ht="15.75" hidden="false" customHeight="true" outlineLevel="0" collapsed="false">
      <c r="B226" s="67"/>
      <c r="C226" s="67"/>
      <c r="D226" s="67"/>
    </row>
    <row r="227" customFormat="false" ht="15.75" hidden="false" customHeight="true" outlineLevel="0" collapsed="false">
      <c r="B227" s="67"/>
      <c r="C227" s="67"/>
      <c r="D227" s="67"/>
    </row>
    <row r="228" customFormat="false" ht="15.75" hidden="false" customHeight="true" outlineLevel="0" collapsed="false">
      <c r="B228" s="67"/>
      <c r="C228" s="67"/>
      <c r="D228" s="67"/>
    </row>
    <row r="229" customFormat="false" ht="15.75" hidden="false" customHeight="true" outlineLevel="0" collapsed="false">
      <c r="B229" s="67"/>
      <c r="C229" s="67"/>
      <c r="D229" s="67"/>
    </row>
    <row r="230" customFormat="false" ht="15.75" hidden="false" customHeight="true" outlineLevel="0" collapsed="false">
      <c r="B230" s="67"/>
      <c r="C230" s="67"/>
      <c r="D230" s="67"/>
    </row>
    <row r="231" customFormat="false" ht="15.75" hidden="false" customHeight="true" outlineLevel="0" collapsed="false">
      <c r="B231" s="67"/>
      <c r="C231" s="67"/>
      <c r="D231" s="67"/>
    </row>
    <row r="232" customFormat="false" ht="15.75" hidden="false" customHeight="true" outlineLevel="0" collapsed="false">
      <c r="B232" s="67"/>
      <c r="C232" s="67"/>
      <c r="D232" s="67"/>
    </row>
    <row r="233" customFormat="false" ht="15.75" hidden="false" customHeight="true" outlineLevel="0" collapsed="false">
      <c r="B233" s="67"/>
      <c r="C233" s="67"/>
      <c r="D233" s="67"/>
    </row>
    <row r="234" customFormat="false" ht="15.75" hidden="false" customHeight="true" outlineLevel="0" collapsed="false">
      <c r="B234" s="67"/>
      <c r="C234" s="67"/>
      <c r="D234" s="67"/>
    </row>
    <row r="235" customFormat="false" ht="15.75" hidden="false" customHeight="true" outlineLevel="0" collapsed="false">
      <c r="B235" s="67"/>
      <c r="C235" s="67"/>
      <c r="D235" s="67"/>
    </row>
    <row r="236" customFormat="false" ht="15.75" hidden="false" customHeight="true" outlineLevel="0" collapsed="false">
      <c r="B236" s="67"/>
      <c r="C236" s="67"/>
      <c r="D236" s="67"/>
    </row>
    <row r="237" customFormat="false" ht="15.75" hidden="false" customHeight="true" outlineLevel="0" collapsed="false">
      <c r="B237" s="67"/>
      <c r="C237" s="67"/>
      <c r="D237" s="67"/>
    </row>
    <row r="238" customFormat="false" ht="15.75" hidden="false" customHeight="true" outlineLevel="0" collapsed="false">
      <c r="B238" s="67"/>
      <c r="C238" s="67"/>
      <c r="D238" s="67"/>
    </row>
    <row r="239" customFormat="false" ht="15.75" hidden="false" customHeight="true" outlineLevel="0" collapsed="false">
      <c r="B239" s="67"/>
      <c r="C239" s="67"/>
      <c r="D239" s="67"/>
    </row>
    <row r="240" customFormat="false" ht="15.75" hidden="false" customHeight="true" outlineLevel="0" collapsed="false">
      <c r="B240" s="67"/>
      <c r="C240" s="67"/>
      <c r="D240" s="67"/>
    </row>
    <row r="241" customFormat="false" ht="15.75" hidden="false" customHeight="true" outlineLevel="0" collapsed="false">
      <c r="B241" s="67"/>
      <c r="C241" s="67"/>
      <c r="D241" s="67"/>
    </row>
    <row r="242" customFormat="false" ht="15.75" hidden="false" customHeight="true" outlineLevel="0" collapsed="false">
      <c r="B242" s="67"/>
      <c r="C242" s="67"/>
      <c r="D242" s="67"/>
    </row>
    <row r="243" customFormat="false" ht="15.75" hidden="false" customHeight="true" outlineLevel="0" collapsed="false">
      <c r="B243" s="67"/>
      <c r="C243" s="67"/>
      <c r="D243" s="67"/>
    </row>
    <row r="244" customFormat="false" ht="15.75" hidden="false" customHeight="true" outlineLevel="0" collapsed="false">
      <c r="B244" s="67"/>
      <c r="C244" s="67"/>
      <c r="D244" s="67"/>
    </row>
    <row r="245" customFormat="false" ht="15.75" hidden="false" customHeight="true" outlineLevel="0" collapsed="false">
      <c r="B245" s="67"/>
      <c r="C245" s="67"/>
      <c r="D245" s="67"/>
    </row>
    <row r="246" customFormat="false" ht="15.75" hidden="false" customHeight="true" outlineLevel="0" collapsed="false">
      <c r="B246" s="67"/>
      <c r="C246" s="67"/>
      <c r="D246" s="67"/>
    </row>
    <row r="247" customFormat="false" ht="15.75" hidden="false" customHeight="true" outlineLevel="0" collapsed="false">
      <c r="B247" s="67"/>
      <c r="C247" s="67"/>
      <c r="D247" s="67"/>
    </row>
    <row r="248" customFormat="false" ht="15.75" hidden="false" customHeight="true" outlineLevel="0" collapsed="false">
      <c r="B248" s="67"/>
      <c r="C248" s="67"/>
      <c r="D248" s="67"/>
    </row>
    <row r="249" customFormat="false" ht="15.75" hidden="false" customHeight="true" outlineLevel="0" collapsed="false">
      <c r="B249" s="67"/>
      <c r="C249" s="67"/>
      <c r="D249" s="67"/>
    </row>
    <row r="250" customFormat="false" ht="15.75" hidden="false" customHeight="true" outlineLevel="0" collapsed="false">
      <c r="B250" s="67"/>
      <c r="C250" s="67"/>
      <c r="D250" s="67"/>
    </row>
    <row r="251" customFormat="false" ht="15.75" hidden="false" customHeight="true" outlineLevel="0" collapsed="false">
      <c r="B251" s="67"/>
      <c r="C251" s="67"/>
      <c r="D251" s="67"/>
    </row>
    <row r="252" customFormat="false" ht="15.75" hidden="false" customHeight="true" outlineLevel="0" collapsed="false">
      <c r="B252" s="67"/>
      <c r="C252" s="67"/>
      <c r="D252" s="67"/>
    </row>
    <row r="253" customFormat="false" ht="15.75" hidden="false" customHeight="true" outlineLevel="0" collapsed="false">
      <c r="B253" s="67"/>
      <c r="C253" s="67"/>
      <c r="D253" s="67"/>
    </row>
    <row r="254" customFormat="false" ht="15.75" hidden="false" customHeight="true" outlineLevel="0" collapsed="false">
      <c r="B254" s="67"/>
      <c r="C254" s="67"/>
      <c r="D254" s="67"/>
    </row>
    <row r="255" customFormat="false" ht="15.75" hidden="false" customHeight="true" outlineLevel="0" collapsed="false">
      <c r="B255" s="67"/>
      <c r="C255" s="67"/>
      <c r="D255" s="67"/>
    </row>
    <row r="256" customFormat="false" ht="15.75" hidden="false" customHeight="true" outlineLevel="0" collapsed="false">
      <c r="B256" s="67"/>
      <c r="C256" s="67"/>
      <c r="D256" s="67"/>
    </row>
    <row r="257" customFormat="false" ht="15.75" hidden="false" customHeight="true" outlineLevel="0" collapsed="false">
      <c r="B257" s="67"/>
      <c r="C257" s="67"/>
      <c r="D257" s="67"/>
    </row>
    <row r="258" customFormat="false" ht="15.75" hidden="false" customHeight="true" outlineLevel="0" collapsed="false">
      <c r="B258" s="67"/>
      <c r="C258" s="67"/>
      <c r="D258" s="67"/>
    </row>
    <row r="259" customFormat="false" ht="15.75" hidden="false" customHeight="true" outlineLevel="0" collapsed="false">
      <c r="B259" s="67"/>
      <c r="C259" s="67"/>
      <c r="D259" s="67"/>
    </row>
    <row r="260" customFormat="false" ht="15.75" hidden="false" customHeight="true" outlineLevel="0" collapsed="false">
      <c r="B260" s="67"/>
      <c r="C260" s="67"/>
      <c r="D260" s="67"/>
    </row>
    <row r="261" customFormat="false" ht="15.75" hidden="false" customHeight="true" outlineLevel="0" collapsed="false">
      <c r="B261" s="67"/>
      <c r="C261" s="67"/>
      <c r="D261" s="67"/>
    </row>
    <row r="262" customFormat="false" ht="15.75" hidden="false" customHeight="true" outlineLevel="0" collapsed="false">
      <c r="B262" s="67"/>
      <c r="C262" s="67"/>
      <c r="D262" s="67"/>
    </row>
    <row r="263" customFormat="false" ht="15.75" hidden="false" customHeight="true" outlineLevel="0" collapsed="false">
      <c r="B263" s="67"/>
      <c r="C263" s="67"/>
      <c r="D263" s="67"/>
    </row>
    <row r="264" customFormat="false" ht="15.75" hidden="false" customHeight="true" outlineLevel="0" collapsed="false">
      <c r="B264" s="67"/>
      <c r="C264" s="67"/>
      <c r="D264" s="67"/>
    </row>
    <row r="265" customFormat="false" ht="15.75" hidden="false" customHeight="true" outlineLevel="0" collapsed="false">
      <c r="B265" s="67"/>
      <c r="C265" s="67"/>
      <c r="D265" s="67"/>
    </row>
    <row r="266" customFormat="false" ht="15.75" hidden="false" customHeight="true" outlineLevel="0" collapsed="false">
      <c r="B266" s="67"/>
      <c r="C266" s="67"/>
      <c r="D266" s="67"/>
    </row>
    <row r="267" customFormat="false" ht="15.75" hidden="false" customHeight="true" outlineLevel="0" collapsed="false">
      <c r="B267" s="67"/>
      <c r="C267" s="67"/>
      <c r="D267" s="67"/>
    </row>
    <row r="268" customFormat="false" ht="15.75" hidden="false" customHeight="true" outlineLevel="0" collapsed="false">
      <c r="B268" s="67"/>
      <c r="C268" s="67"/>
      <c r="D268" s="67"/>
    </row>
    <row r="269" customFormat="false" ht="15.75" hidden="false" customHeight="true" outlineLevel="0" collapsed="false">
      <c r="B269" s="67"/>
      <c r="C269" s="67"/>
      <c r="D269" s="67"/>
    </row>
    <row r="270" customFormat="false" ht="15.75" hidden="false" customHeight="true" outlineLevel="0" collapsed="false">
      <c r="B270" s="67"/>
      <c r="C270" s="67"/>
      <c r="D270" s="67"/>
    </row>
    <row r="271" customFormat="false" ht="15.75" hidden="false" customHeight="true" outlineLevel="0" collapsed="false">
      <c r="B271" s="67"/>
      <c r="C271" s="67"/>
      <c r="D271" s="67"/>
    </row>
    <row r="272" customFormat="false" ht="15.75" hidden="false" customHeight="true" outlineLevel="0" collapsed="false">
      <c r="B272" s="67"/>
      <c r="C272" s="67"/>
      <c r="D272" s="67"/>
    </row>
    <row r="273" customFormat="false" ht="15.75" hidden="false" customHeight="true" outlineLevel="0" collapsed="false">
      <c r="B273" s="67"/>
      <c r="C273" s="67"/>
      <c r="D273" s="67"/>
    </row>
    <row r="274" customFormat="false" ht="15.75" hidden="false" customHeight="true" outlineLevel="0" collapsed="false">
      <c r="B274" s="67"/>
      <c r="C274" s="67"/>
      <c r="D274" s="67"/>
    </row>
    <row r="275" customFormat="false" ht="15.75" hidden="false" customHeight="true" outlineLevel="0" collapsed="false">
      <c r="B275" s="67"/>
      <c r="C275" s="67"/>
      <c r="D275" s="67"/>
    </row>
    <row r="276" customFormat="false" ht="15.75" hidden="false" customHeight="true" outlineLevel="0" collapsed="false">
      <c r="B276" s="67"/>
      <c r="C276" s="67"/>
      <c r="D276" s="67"/>
    </row>
    <row r="277" customFormat="false" ht="15.75" hidden="false" customHeight="true" outlineLevel="0" collapsed="false">
      <c r="B277" s="67"/>
      <c r="C277" s="67"/>
      <c r="D277" s="67"/>
    </row>
    <row r="278" customFormat="false" ht="15.75" hidden="false" customHeight="true" outlineLevel="0" collapsed="false">
      <c r="B278" s="67"/>
      <c r="C278" s="67"/>
      <c r="D278" s="67"/>
    </row>
    <row r="279" customFormat="false" ht="15.75" hidden="false" customHeight="true" outlineLevel="0" collapsed="false">
      <c r="B279" s="67"/>
      <c r="C279" s="67"/>
      <c r="D279" s="67"/>
    </row>
    <row r="280" customFormat="false" ht="15.75" hidden="false" customHeight="true" outlineLevel="0" collapsed="false">
      <c r="B280" s="67"/>
      <c r="C280" s="67"/>
      <c r="D280" s="67"/>
    </row>
    <row r="281" customFormat="false" ht="15.75" hidden="false" customHeight="true" outlineLevel="0" collapsed="false">
      <c r="B281" s="67"/>
      <c r="C281" s="67"/>
      <c r="D281" s="67"/>
    </row>
    <row r="282" customFormat="false" ht="15.75" hidden="false" customHeight="true" outlineLevel="0" collapsed="false">
      <c r="B282" s="67"/>
      <c r="C282" s="67"/>
      <c r="D282" s="67"/>
    </row>
    <row r="283" customFormat="false" ht="15.75" hidden="false" customHeight="true" outlineLevel="0" collapsed="false">
      <c r="B283" s="67"/>
      <c r="C283" s="67"/>
      <c r="D283" s="67"/>
    </row>
    <row r="284" customFormat="false" ht="15.75" hidden="false" customHeight="true" outlineLevel="0" collapsed="false">
      <c r="B284" s="67"/>
      <c r="C284" s="67"/>
      <c r="D284" s="67"/>
    </row>
    <row r="285" customFormat="false" ht="15.75" hidden="false" customHeight="true" outlineLevel="0" collapsed="false">
      <c r="B285" s="67"/>
      <c r="C285" s="67"/>
      <c r="D285" s="67"/>
    </row>
    <row r="286" customFormat="false" ht="15.75" hidden="false" customHeight="true" outlineLevel="0" collapsed="false">
      <c r="B286" s="67"/>
      <c r="C286" s="67"/>
      <c r="D286" s="67"/>
    </row>
    <row r="287" customFormat="false" ht="15.75" hidden="false" customHeight="true" outlineLevel="0" collapsed="false">
      <c r="B287" s="67"/>
      <c r="C287" s="67"/>
      <c r="D287" s="67"/>
    </row>
    <row r="288" customFormat="false" ht="15.75" hidden="false" customHeight="true" outlineLevel="0" collapsed="false">
      <c r="B288" s="67"/>
      <c r="C288" s="67"/>
      <c r="D288" s="67"/>
    </row>
    <row r="289" customFormat="false" ht="15.75" hidden="false" customHeight="true" outlineLevel="0" collapsed="false">
      <c r="B289" s="67"/>
      <c r="C289" s="67"/>
      <c r="D289" s="67"/>
    </row>
    <row r="290" customFormat="false" ht="15.75" hidden="false" customHeight="true" outlineLevel="0" collapsed="false">
      <c r="B290" s="67"/>
      <c r="C290" s="67"/>
      <c r="D290" s="67"/>
    </row>
    <row r="291" customFormat="false" ht="15.75" hidden="false" customHeight="true" outlineLevel="0" collapsed="false">
      <c r="B291" s="67"/>
      <c r="C291" s="67"/>
      <c r="D291" s="67"/>
    </row>
    <row r="292" customFormat="false" ht="15.75" hidden="false" customHeight="true" outlineLevel="0" collapsed="false">
      <c r="B292" s="67"/>
      <c r="C292" s="67"/>
      <c r="D292" s="67"/>
    </row>
    <row r="293" customFormat="false" ht="15.75" hidden="false" customHeight="true" outlineLevel="0" collapsed="false">
      <c r="B293" s="67"/>
      <c r="C293" s="67"/>
      <c r="D293" s="67"/>
    </row>
    <row r="294" customFormat="false" ht="15.75" hidden="false" customHeight="true" outlineLevel="0" collapsed="false">
      <c r="B294" s="67"/>
      <c r="C294" s="67"/>
      <c r="D294" s="67"/>
    </row>
    <row r="295" customFormat="false" ht="15.75" hidden="false" customHeight="true" outlineLevel="0" collapsed="false">
      <c r="B295" s="67"/>
      <c r="C295" s="67"/>
      <c r="D295" s="67"/>
    </row>
    <row r="296" customFormat="false" ht="15.75" hidden="false" customHeight="true" outlineLevel="0" collapsed="false">
      <c r="B296" s="67"/>
      <c r="C296" s="67"/>
      <c r="D296" s="67"/>
    </row>
    <row r="297" customFormat="false" ht="15.75" hidden="false" customHeight="true" outlineLevel="0" collapsed="false">
      <c r="B297" s="67"/>
      <c r="C297" s="67"/>
      <c r="D297" s="67"/>
    </row>
    <row r="298" customFormat="false" ht="15.75" hidden="false" customHeight="true" outlineLevel="0" collapsed="false">
      <c r="B298" s="67"/>
      <c r="C298" s="67"/>
      <c r="D298" s="67"/>
    </row>
    <row r="299" customFormat="false" ht="15.75" hidden="false" customHeight="true" outlineLevel="0" collapsed="false">
      <c r="B299" s="67"/>
      <c r="C299" s="67"/>
      <c r="D299" s="67"/>
    </row>
    <row r="300" customFormat="false" ht="15.75" hidden="false" customHeight="true" outlineLevel="0" collapsed="false">
      <c r="B300" s="67"/>
      <c r="C300" s="67"/>
      <c r="D300" s="67"/>
    </row>
    <row r="301" customFormat="false" ht="15.75" hidden="false" customHeight="true" outlineLevel="0" collapsed="false">
      <c r="B301" s="67"/>
      <c r="C301" s="67"/>
      <c r="D301" s="67"/>
    </row>
    <row r="302" customFormat="false" ht="15.75" hidden="false" customHeight="true" outlineLevel="0" collapsed="false">
      <c r="B302" s="67"/>
      <c r="C302" s="67"/>
      <c r="D302" s="67"/>
    </row>
    <row r="303" customFormat="false" ht="15.75" hidden="false" customHeight="true" outlineLevel="0" collapsed="false">
      <c r="B303" s="67"/>
      <c r="C303" s="67"/>
      <c r="D303" s="67"/>
    </row>
    <row r="304" customFormat="false" ht="15.75" hidden="false" customHeight="true" outlineLevel="0" collapsed="false">
      <c r="B304" s="67"/>
      <c r="C304" s="67"/>
      <c r="D304" s="67"/>
    </row>
    <row r="305" customFormat="false" ht="15.75" hidden="false" customHeight="true" outlineLevel="0" collapsed="false">
      <c r="B305" s="67"/>
      <c r="C305" s="67"/>
      <c r="D305" s="67"/>
    </row>
    <row r="306" customFormat="false" ht="15.75" hidden="false" customHeight="true" outlineLevel="0" collapsed="false">
      <c r="B306" s="67"/>
      <c r="C306" s="67"/>
      <c r="D306" s="67"/>
    </row>
    <row r="307" customFormat="false" ht="15.75" hidden="false" customHeight="true" outlineLevel="0" collapsed="false">
      <c r="B307" s="67"/>
      <c r="C307" s="67"/>
      <c r="D307" s="67"/>
    </row>
    <row r="308" customFormat="false" ht="15.75" hidden="false" customHeight="true" outlineLevel="0" collapsed="false">
      <c r="B308" s="67"/>
      <c r="C308" s="67"/>
      <c r="D308" s="67"/>
    </row>
    <row r="309" customFormat="false" ht="15.75" hidden="false" customHeight="true" outlineLevel="0" collapsed="false">
      <c r="B309" s="67"/>
      <c r="C309" s="67"/>
      <c r="D309" s="67"/>
    </row>
    <row r="310" customFormat="false" ht="15.75" hidden="false" customHeight="true" outlineLevel="0" collapsed="false">
      <c r="B310" s="67"/>
      <c r="C310" s="67"/>
      <c r="D310" s="67"/>
    </row>
    <row r="311" customFormat="false" ht="15.75" hidden="false" customHeight="true" outlineLevel="0" collapsed="false">
      <c r="B311" s="67"/>
      <c r="C311" s="67"/>
      <c r="D311" s="67"/>
    </row>
    <row r="312" customFormat="false" ht="15.75" hidden="false" customHeight="true" outlineLevel="0" collapsed="false">
      <c r="B312" s="67"/>
      <c r="C312" s="67"/>
      <c r="D312" s="67"/>
    </row>
    <row r="313" customFormat="false" ht="15.75" hidden="false" customHeight="true" outlineLevel="0" collapsed="false">
      <c r="B313" s="67"/>
      <c r="C313" s="67"/>
      <c r="D313" s="67"/>
    </row>
    <row r="314" customFormat="false" ht="15.75" hidden="false" customHeight="true" outlineLevel="0" collapsed="false">
      <c r="B314" s="67"/>
      <c r="C314" s="67"/>
      <c r="D314" s="67"/>
    </row>
    <row r="315" customFormat="false" ht="15.75" hidden="false" customHeight="true" outlineLevel="0" collapsed="false">
      <c r="B315" s="67"/>
      <c r="C315" s="67"/>
      <c r="D315" s="67"/>
    </row>
    <row r="316" customFormat="false" ht="15.75" hidden="false" customHeight="true" outlineLevel="0" collapsed="false">
      <c r="B316" s="67"/>
      <c r="C316" s="67"/>
      <c r="D316" s="67"/>
    </row>
    <row r="317" customFormat="false" ht="15.75" hidden="false" customHeight="true" outlineLevel="0" collapsed="false">
      <c r="B317" s="67"/>
      <c r="C317" s="67"/>
      <c r="D317" s="67"/>
    </row>
    <row r="318" customFormat="false" ht="15.75" hidden="false" customHeight="true" outlineLevel="0" collapsed="false">
      <c r="B318" s="67"/>
      <c r="C318" s="67"/>
      <c r="D318" s="67"/>
    </row>
    <row r="319" customFormat="false" ht="15.75" hidden="false" customHeight="true" outlineLevel="0" collapsed="false">
      <c r="B319" s="67"/>
      <c r="C319" s="67"/>
      <c r="D319" s="67"/>
    </row>
    <row r="320" customFormat="false" ht="15.75" hidden="false" customHeight="true" outlineLevel="0" collapsed="false">
      <c r="B320" s="67"/>
      <c r="C320" s="67"/>
      <c r="D320" s="67"/>
    </row>
    <row r="321" customFormat="false" ht="15.75" hidden="false" customHeight="true" outlineLevel="0" collapsed="false">
      <c r="B321" s="67"/>
      <c r="C321" s="67"/>
      <c r="D321" s="67"/>
    </row>
    <row r="322" customFormat="false" ht="15.75" hidden="false" customHeight="true" outlineLevel="0" collapsed="false">
      <c r="B322" s="67"/>
      <c r="C322" s="67"/>
      <c r="D322" s="67"/>
    </row>
    <row r="323" customFormat="false" ht="15.75" hidden="false" customHeight="true" outlineLevel="0" collapsed="false">
      <c r="B323" s="67"/>
      <c r="C323" s="67"/>
      <c r="D323" s="67"/>
    </row>
    <row r="324" customFormat="false" ht="15.75" hidden="false" customHeight="true" outlineLevel="0" collapsed="false">
      <c r="B324" s="67"/>
      <c r="C324" s="67"/>
      <c r="D324" s="67"/>
    </row>
    <row r="325" customFormat="false" ht="15.75" hidden="false" customHeight="true" outlineLevel="0" collapsed="false">
      <c r="B325" s="67"/>
      <c r="C325" s="67"/>
      <c r="D325" s="67"/>
    </row>
    <row r="326" customFormat="false" ht="15.75" hidden="false" customHeight="true" outlineLevel="0" collapsed="false">
      <c r="B326" s="67"/>
      <c r="C326" s="67"/>
      <c r="D326" s="67"/>
    </row>
    <row r="327" customFormat="false" ht="15.75" hidden="false" customHeight="true" outlineLevel="0" collapsed="false">
      <c r="B327" s="67"/>
      <c r="C327" s="67"/>
      <c r="D327" s="67"/>
    </row>
    <row r="328" customFormat="false" ht="15.75" hidden="false" customHeight="true" outlineLevel="0" collapsed="false">
      <c r="B328" s="67"/>
      <c r="C328" s="67"/>
      <c r="D328" s="67"/>
    </row>
    <row r="329" customFormat="false" ht="15.75" hidden="false" customHeight="true" outlineLevel="0" collapsed="false">
      <c r="B329" s="67"/>
      <c r="C329" s="67"/>
      <c r="D329" s="67"/>
    </row>
    <row r="330" customFormat="false" ht="15.75" hidden="false" customHeight="true" outlineLevel="0" collapsed="false">
      <c r="B330" s="67"/>
      <c r="C330" s="67"/>
      <c r="D330" s="67"/>
    </row>
    <row r="331" customFormat="false" ht="15.75" hidden="false" customHeight="true" outlineLevel="0" collapsed="false">
      <c r="B331" s="67"/>
      <c r="C331" s="67"/>
      <c r="D331" s="67"/>
    </row>
    <row r="332" customFormat="false" ht="15.75" hidden="false" customHeight="true" outlineLevel="0" collapsed="false">
      <c r="B332" s="67"/>
      <c r="C332" s="67"/>
      <c r="D332" s="67"/>
    </row>
    <row r="333" customFormat="false" ht="15.75" hidden="false" customHeight="true" outlineLevel="0" collapsed="false">
      <c r="B333" s="67"/>
      <c r="C333" s="67"/>
      <c r="D333" s="67"/>
    </row>
    <row r="334" customFormat="false" ht="15.75" hidden="false" customHeight="true" outlineLevel="0" collapsed="false">
      <c r="B334" s="67"/>
      <c r="C334" s="67"/>
      <c r="D334" s="67"/>
    </row>
    <row r="335" customFormat="false" ht="15.75" hidden="false" customHeight="true" outlineLevel="0" collapsed="false">
      <c r="B335" s="67"/>
      <c r="C335" s="67"/>
      <c r="D335" s="67"/>
    </row>
    <row r="336" customFormat="false" ht="15.75" hidden="false" customHeight="true" outlineLevel="0" collapsed="false">
      <c r="B336" s="67"/>
      <c r="C336" s="67"/>
      <c r="D336" s="67"/>
    </row>
    <row r="337" customFormat="false" ht="15.75" hidden="false" customHeight="true" outlineLevel="0" collapsed="false">
      <c r="B337" s="67"/>
      <c r="C337" s="67"/>
      <c r="D337" s="67"/>
    </row>
    <row r="338" customFormat="false" ht="15.75" hidden="false" customHeight="true" outlineLevel="0" collapsed="false">
      <c r="B338" s="67"/>
      <c r="C338" s="67"/>
      <c r="D338" s="67"/>
    </row>
    <row r="339" customFormat="false" ht="15.75" hidden="false" customHeight="true" outlineLevel="0" collapsed="false">
      <c r="B339" s="67"/>
      <c r="C339" s="67"/>
      <c r="D339" s="67"/>
    </row>
    <row r="340" customFormat="false" ht="15.75" hidden="false" customHeight="true" outlineLevel="0" collapsed="false">
      <c r="B340" s="67"/>
      <c r="C340" s="67"/>
      <c r="D340" s="67"/>
    </row>
    <row r="341" customFormat="false" ht="15.75" hidden="false" customHeight="true" outlineLevel="0" collapsed="false">
      <c r="B341" s="67"/>
      <c r="C341" s="67"/>
      <c r="D341" s="67"/>
    </row>
    <row r="342" customFormat="false" ht="15.75" hidden="false" customHeight="true" outlineLevel="0" collapsed="false">
      <c r="B342" s="67"/>
      <c r="C342" s="67"/>
      <c r="D342" s="67"/>
    </row>
    <row r="343" customFormat="false" ht="15.75" hidden="false" customHeight="true" outlineLevel="0" collapsed="false">
      <c r="B343" s="67"/>
      <c r="C343" s="67"/>
      <c r="D343" s="67"/>
    </row>
    <row r="344" customFormat="false" ht="15.75" hidden="false" customHeight="true" outlineLevel="0" collapsed="false">
      <c r="B344" s="67"/>
      <c r="C344" s="67"/>
      <c r="D344" s="67"/>
    </row>
    <row r="345" customFormat="false" ht="15.75" hidden="false" customHeight="true" outlineLevel="0" collapsed="false">
      <c r="B345" s="67"/>
      <c r="C345" s="67"/>
      <c r="D345" s="67"/>
    </row>
    <row r="346" customFormat="false" ht="15.75" hidden="false" customHeight="true" outlineLevel="0" collapsed="false">
      <c r="B346" s="67"/>
      <c r="C346" s="67"/>
      <c r="D346" s="67"/>
    </row>
    <row r="347" customFormat="false" ht="15.75" hidden="false" customHeight="true" outlineLevel="0" collapsed="false">
      <c r="B347" s="67"/>
      <c r="C347" s="67"/>
      <c r="D347" s="67"/>
    </row>
    <row r="348" customFormat="false" ht="15.75" hidden="false" customHeight="true" outlineLevel="0" collapsed="false">
      <c r="B348" s="67"/>
      <c r="C348" s="67"/>
      <c r="D348" s="67"/>
    </row>
    <row r="349" customFormat="false" ht="15.75" hidden="false" customHeight="true" outlineLevel="0" collapsed="false">
      <c r="B349" s="67"/>
      <c r="C349" s="67"/>
      <c r="D349" s="67"/>
    </row>
    <row r="350" customFormat="false" ht="15.75" hidden="false" customHeight="true" outlineLevel="0" collapsed="false">
      <c r="B350" s="67"/>
      <c r="C350" s="67"/>
      <c r="D350" s="67"/>
    </row>
    <row r="351" customFormat="false" ht="15.75" hidden="false" customHeight="true" outlineLevel="0" collapsed="false">
      <c r="B351" s="67"/>
      <c r="C351" s="67"/>
      <c r="D351" s="67"/>
    </row>
    <row r="352" customFormat="false" ht="15.75" hidden="false" customHeight="true" outlineLevel="0" collapsed="false">
      <c r="B352" s="67"/>
      <c r="C352" s="67"/>
      <c r="D352" s="67"/>
    </row>
    <row r="353" customFormat="false" ht="15.75" hidden="false" customHeight="true" outlineLevel="0" collapsed="false">
      <c r="B353" s="67"/>
      <c r="C353" s="67"/>
      <c r="D353" s="67"/>
    </row>
    <row r="354" customFormat="false" ht="15.75" hidden="false" customHeight="true" outlineLevel="0" collapsed="false">
      <c r="B354" s="67"/>
      <c r="C354" s="67"/>
      <c r="D354" s="67"/>
    </row>
    <row r="355" customFormat="false" ht="15.75" hidden="false" customHeight="true" outlineLevel="0" collapsed="false">
      <c r="B355" s="67"/>
      <c r="C355" s="67"/>
      <c r="D355" s="67"/>
    </row>
    <row r="356" customFormat="false" ht="15.75" hidden="false" customHeight="true" outlineLevel="0" collapsed="false">
      <c r="B356" s="67"/>
      <c r="C356" s="67"/>
      <c r="D356" s="67"/>
    </row>
    <row r="357" customFormat="false" ht="15.75" hidden="false" customHeight="true" outlineLevel="0" collapsed="false">
      <c r="B357" s="67"/>
      <c r="C357" s="67"/>
      <c r="D357" s="67"/>
    </row>
    <row r="358" customFormat="false" ht="15.75" hidden="false" customHeight="true" outlineLevel="0" collapsed="false">
      <c r="B358" s="67"/>
      <c r="C358" s="67"/>
      <c r="D358" s="67"/>
    </row>
    <row r="359" customFormat="false" ht="15.75" hidden="false" customHeight="true" outlineLevel="0" collapsed="false">
      <c r="B359" s="67"/>
      <c r="C359" s="67"/>
      <c r="D359" s="67"/>
    </row>
    <row r="360" customFormat="false" ht="15.75" hidden="false" customHeight="true" outlineLevel="0" collapsed="false">
      <c r="B360" s="67"/>
      <c r="C360" s="67"/>
      <c r="D360" s="67"/>
    </row>
    <row r="361" customFormat="false" ht="15.75" hidden="false" customHeight="true" outlineLevel="0" collapsed="false">
      <c r="B361" s="67"/>
      <c r="C361" s="67"/>
      <c r="D361" s="67"/>
    </row>
    <row r="362" customFormat="false" ht="15.75" hidden="false" customHeight="true" outlineLevel="0" collapsed="false">
      <c r="B362" s="67"/>
      <c r="C362" s="67"/>
      <c r="D362" s="67"/>
    </row>
    <row r="363" customFormat="false" ht="15.75" hidden="false" customHeight="true" outlineLevel="0" collapsed="false">
      <c r="B363" s="67"/>
      <c r="C363" s="67"/>
      <c r="D363" s="67"/>
    </row>
    <row r="364" customFormat="false" ht="15.75" hidden="false" customHeight="true" outlineLevel="0" collapsed="false">
      <c r="B364" s="67"/>
      <c r="C364" s="67"/>
      <c r="D364" s="67"/>
    </row>
    <row r="365" customFormat="false" ht="15.75" hidden="false" customHeight="true" outlineLevel="0" collapsed="false">
      <c r="B365" s="67"/>
      <c r="C365" s="67"/>
      <c r="D365" s="67"/>
    </row>
    <row r="366" customFormat="false" ht="15.75" hidden="false" customHeight="true" outlineLevel="0" collapsed="false">
      <c r="B366" s="67"/>
      <c r="C366" s="67"/>
      <c r="D366" s="67"/>
    </row>
    <row r="367" customFormat="false" ht="15.75" hidden="false" customHeight="true" outlineLevel="0" collapsed="false">
      <c r="B367" s="67"/>
      <c r="C367" s="67"/>
      <c r="D367" s="67"/>
    </row>
    <row r="368" customFormat="false" ht="15.75" hidden="false" customHeight="true" outlineLevel="0" collapsed="false">
      <c r="B368" s="67"/>
      <c r="C368" s="67"/>
      <c r="D368" s="67"/>
    </row>
    <row r="369" customFormat="false" ht="15.75" hidden="false" customHeight="true" outlineLevel="0" collapsed="false">
      <c r="B369" s="67"/>
      <c r="C369" s="67"/>
      <c r="D369" s="67"/>
    </row>
    <row r="370" customFormat="false" ht="15.75" hidden="false" customHeight="true" outlineLevel="0" collapsed="false">
      <c r="B370" s="67"/>
      <c r="C370" s="67"/>
      <c r="D370" s="67"/>
    </row>
    <row r="371" customFormat="false" ht="15.75" hidden="false" customHeight="true" outlineLevel="0" collapsed="false">
      <c r="B371" s="67"/>
      <c r="C371" s="67"/>
      <c r="D371" s="67"/>
    </row>
    <row r="372" customFormat="false" ht="15.75" hidden="false" customHeight="true" outlineLevel="0" collapsed="false">
      <c r="B372" s="67"/>
      <c r="C372" s="67"/>
      <c r="D372" s="67"/>
    </row>
    <row r="373" customFormat="false" ht="15.75" hidden="false" customHeight="true" outlineLevel="0" collapsed="false">
      <c r="B373" s="67"/>
      <c r="C373" s="67"/>
      <c r="D373" s="67"/>
    </row>
    <row r="374" customFormat="false" ht="15.75" hidden="false" customHeight="true" outlineLevel="0" collapsed="false">
      <c r="B374" s="67"/>
      <c r="C374" s="67"/>
      <c r="D374" s="67"/>
    </row>
    <row r="375" customFormat="false" ht="15.75" hidden="false" customHeight="true" outlineLevel="0" collapsed="false">
      <c r="B375" s="67"/>
      <c r="C375" s="67"/>
      <c r="D375" s="67"/>
    </row>
    <row r="376" customFormat="false" ht="15.75" hidden="false" customHeight="true" outlineLevel="0" collapsed="false">
      <c r="B376" s="67"/>
      <c r="C376" s="67"/>
      <c r="D376" s="67"/>
    </row>
    <row r="377" customFormat="false" ht="15.75" hidden="false" customHeight="true" outlineLevel="0" collapsed="false">
      <c r="B377" s="67"/>
      <c r="C377" s="67"/>
      <c r="D377" s="67"/>
    </row>
    <row r="378" customFormat="false" ht="15.75" hidden="false" customHeight="true" outlineLevel="0" collapsed="false">
      <c r="B378" s="67"/>
      <c r="C378" s="67"/>
      <c r="D378" s="67"/>
    </row>
    <row r="379" customFormat="false" ht="15.75" hidden="false" customHeight="true" outlineLevel="0" collapsed="false">
      <c r="B379" s="67"/>
      <c r="C379" s="67"/>
      <c r="D379" s="67"/>
    </row>
    <row r="380" customFormat="false" ht="15.75" hidden="false" customHeight="true" outlineLevel="0" collapsed="false">
      <c r="B380" s="67"/>
      <c r="C380" s="67"/>
      <c r="D380" s="67"/>
    </row>
    <row r="381" customFormat="false" ht="15.75" hidden="false" customHeight="true" outlineLevel="0" collapsed="false">
      <c r="B381" s="67"/>
      <c r="C381" s="67"/>
      <c r="D381" s="67"/>
    </row>
    <row r="382" customFormat="false" ht="15.75" hidden="false" customHeight="true" outlineLevel="0" collapsed="false">
      <c r="B382" s="67"/>
      <c r="C382" s="67"/>
      <c r="D382" s="67"/>
    </row>
    <row r="383" customFormat="false" ht="15.75" hidden="false" customHeight="true" outlineLevel="0" collapsed="false">
      <c r="B383" s="67"/>
      <c r="C383" s="67"/>
      <c r="D383" s="67"/>
    </row>
    <row r="384" customFormat="false" ht="15.75" hidden="false" customHeight="true" outlineLevel="0" collapsed="false">
      <c r="B384" s="67"/>
      <c r="C384" s="67"/>
      <c r="D384" s="67"/>
    </row>
    <row r="385" customFormat="false" ht="15.75" hidden="false" customHeight="true" outlineLevel="0" collapsed="false">
      <c r="B385" s="67"/>
      <c r="C385" s="67"/>
      <c r="D385" s="67"/>
    </row>
    <row r="386" customFormat="false" ht="15.75" hidden="false" customHeight="true" outlineLevel="0" collapsed="false">
      <c r="B386" s="67"/>
      <c r="C386" s="67"/>
      <c r="D386" s="67"/>
    </row>
    <row r="387" customFormat="false" ht="15.75" hidden="false" customHeight="true" outlineLevel="0" collapsed="false">
      <c r="B387" s="67"/>
      <c r="C387" s="67"/>
      <c r="D387" s="67"/>
    </row>
    <row r="388" customFormat="false" ht="15.75" hidden="false" customHeight="true" outlineLevel="0" collapsed="false">
      <c r="B388" s="67"/>
      <c r="C388" s="67"/>
      <c r="D388" s="67"/>
    </row>
    <row r="389" customFormat="false" ht="15.75" hidden="false" customHeight="true" outlineLevel="0" collapsed="false">
      <c r="B389" s="67"/>
      <c r="C389" s="67"/>
      <c r="D389" s="67"/>
    </row>
    <row r="390" customFormat="false" ht="15.75" hidden="false" customHeight="true" outlineLevel="0" collapsed="false">
      <c r="B390" s="67"/>
      <c r="C390" s="67"/>
      <c r="D390" s="67"/>
    </row>
    <row r="391" customFormat="false" ht="15.75" hidden="false" customHeight="true" outlineLevel="0" collapsed="false">
      <c r="B391" s="67"/>
      <c r="C391" s="67"/>
      <c r="D391" s="67"/>
    </row>
    <row r="392" customFormat="false" ht="15.75" hidden="false" customHeight="true" outlineLevel="0" collapsed="false">
      <c r="B392" s="67"/>
      <c r="C392" s="67"/>
      <c r="D392" s="67"/>
    </row>
    <row r="393" customFormat="false" ht="15.75" hidden="false" customHeight="true" outlineLevel="0" collapsed="false">
      <c r="B393" s="67"/>
      <c r="C393" s="67"/>
      <c r="D393" s="67"/>
    </row>
    <row r="394" customFormat="false" ht="15.75" hidden="false" customHeight="true" outlineLevel="0" collapsed="false">
      <c r="B394" s="67"/>
      <c r="C394" s="67"/>
      <c r="D394" s="67"/>
    </row>
    <row r="395" customFormat="false" ht="15.75" hidden="false" customHeight="true" outlineLevel="0" collapsed="false">
      <c r="B395" s="67"/>
      <c r="C395" s="67"/>
      <c r="D395" s="67"/>
    </row>
    <row r="396" customFormat="false" ht="15.75" hidden="false" customHeight="true" outlineLevel="0" collapsed="false">
      <c r="B396" s="67"/>
      <c r="C396" s="67"/>
      <c r="D396" s="67"/>
    </row>
    <row r="397" customFormat="false" ht="15.75" hidden="false" customHeight="true" outlineLevel="0" collapsed="false">
      <c r="B397" s="67"/>
      <c r="C397" s="67"/>
      <c r="D397" s="67"/>
    </row>
    <row r="398" customFormat="false" ht="15.75" hidden="false" customHeight="true" outlineLevel="0" collapsed="false">
      <c r="B398" s="67"/>
      <c r="C398" s="67"/>
      <c r="D398" s="67"/>
    </row>
    <row r="399" customFormat="false" ht="15.75" hidden="false" customHeight="true" outlineLevel="0" collapsed="false">
      <c r="B399" s="67"/>
      <c r="C399" s="67"/>
      <c r="D399" s="67"/>
    </row>
    <row r="400" customFormat="false" ht="15.75" hidden="false" customHeight="true" outlineLevel="0" collapsed="false">
      <c r="B400" s="67"/>
      <c r="C400" s="67"/>
      <c r="D400" s="67"/>
    </row>
    <row r="401" customFormat="false" ht="15.75" hidden="false" customHeight="true" outlineLevel="0" collapsed="false">
      <c r="B401" s="67"/>
      <c r="C401" s="67"/>
      <c r="D401" s="67"/>
    </row>
    <row r="402" customFormat="false" ht="15.75" hidden="false" customHeight="true" outlineLevel="0" collapsed="false">
      <c r="B402" s="67"/>
      <c r="C402" s="67"/>
      <c r="D402" s="67"/>
    </row>
    <row r="403" customFormat="false" ht="15.75" hidden="false" customHeight="true" outlineLevel="0" collapsed="false">
      <c r="B403" s="67"/>
      <c r="C403" s="67"/>
      <c r="D403" s="67"/>
    </row>
    <row r="404" customFormat="false" ht="15.75" hidden="false" customHeight="true" outlineLevel="0" collapsed="false">
      <c r="B404" s="67"/>
      <c r="C404" s="67"/>
      <c r="D404" s="67"/>
    </row>
    <row r="405" customFormat="false" ht="15.75" hidden="false" customHeight="true" outlineLevel="0" collapsed="false">
      <c r="B405" s="67"/>
      <c r="C405" s="67"/>
      <c r="D405" s="67"/>
    </row>
    <row r="406" customFormat="false" ht="15.75" hidden="false" customHeight="true" outlineLevel="0" collapsed="false">
      <c r="B406" s="67"/>
      <c r="C406" s="67"/>
      <c r="D406" s="67"/>
    </row>
    <row r="407" customFormat="false" ht="15.75" hidden="false" customHeight="true" outlineLevel="0" collapsed="false">
      <c r="B407" s="67"/>
      <c r="C407" s="67"/>
      <c r="D407" s="67"/>
    </row>
    <row r="408" customFormat="false" ht="15.75" hidden="false" customHeight="true" outlineLevel="0" collapsed="false">
      <c r="B408" s="67"/>
      <c r="C408" s="67"/>
      <c r="D408" s="67"/>
    </row>
    <row r="409" customFormat="false" ht="15.75" hidden="false" customHeight="true" outlineLevel="0" collapsed="false">
      <c r="B409" s="67"/>
      <c r="C409" s="67"/>
      <c r="D409" s="67"/>
    </row>
    <row r="410" customFormat="false" ht="15.75" hidden="false" customHeight="true" outlineLevel="0" collapsed="false">
      <c r="B410" s="67"/>
      <c r="C410" s="67"/>
      <c r="D410" s="67"/>
    </row>
    <row r="411" customFormat="false" ht="15.75" hidden="false" customHeight="true" outlineLevel="0" collapsed="false">
      <c r="B411" s="67"/>
      <c r="C411" s="67"/>
      <c r="D411" s="67"/>
    </row>
    <row r="412" customFormat="false" ht="15.75" hidden="false" customHeight="true" outlineLevel="0" collapsed="false">
      <c r="B412" s="67"/>
      <c r="C412" s="67"/>
      <c r="D412" s="67"/>
    </row>
    <row r="413" customFormat="false" ht="15.75" hidden="false" customHeight="true" outlineLevel="0" collapsed="false">
      <c r="B413" s="67"/>
      <c r="C413" s="67"/>
      <c r="D413" s="67"/>
    </row>
    <row r="414" customFormat="false" ht="15.75" hidden="false" customHeight="true" outlineLevel="0" collapsed="false">
      <c r="B414" s="67"/>
      <c r="C414" s="67"/>
      <c r="D414" s="67"/>
    </row>
    <row r="415" customFormat="false" ht="15.75" hidden="false" customHeight="true" outlineLevel="0" collapsed="false">
      <c r="B415" s="67"/>
      <c r="C415" s="67"/>
      <c r="D415" s="67"/>
    </row>
    <row r="416" customFormat="false" ht="15.75" hidden="false" customHeight="true" outlineLevel="0" collapsed="false">
      <c r="B416" s="67"/>
      <c r="C416" s="67"/>
      <c r="D416" s="67"/>
    </row>
    <row r="417" customFormat="false" ht="15.75" hidden="false" customHeight="true" outlineLevel="0" collapsed="false">
      <c r="B417" s="67"/>
      <c r="C417" s="67"/>
      <c r="D417" s="67"/>
    </row>
    <row r="418" customFormat="false" ht="15.75" hidden="false" customHeight="true" outlineLevel="0" collapsed="false">
      <c r="B418" s="67"/>
      <c r="C418" s="67"/>
      <c r="D418" s="67"/>
    </row>
    <row r="419" customFormat="false" ht="15.75" hidden="false" customHeight="true" outlineLevel="0" collapsed="false">
      <c r="B419" s="67"/>
      <c r="C419" s="67"/>
      <c r="D419" s="67"/>
    </row>
    <row r="420" customFormat="false" ht="15.75" hidden="false" customHeight="true" outlineLevel="0" collapsed="false">
      <c r="B420" s="67"/>
      <c r="C420" s="67"/>
      <c r="D420" s="67"/>
    </row>
    <row r="421" customFormat="false" ht="15.75" hidden="false" customHeight="true" outlineLevel="0" collapsed="false">
      <c r="B421" s="67"/>
      <c r="C421" s="67"/>
      <c r="D421" s="67"/>
    </row>
    <row r="422" customFormat="false" ht="15.75" hidden="false" customHeight="true" outlineLevel="0" collapsed="false">
      <c r="B422" s="67"/>
      <c r="C422" s="67"/>
      <c r="D422" s="67"/>
    </row>
    <row r="423" customFormat="false" ht="15.75" hidden="false" customHeight="true" outlineLevel="0" collapsed="false">
      <c r="B423" s="67"/>
      <c r="C423" s="67"/>
      <c r="D423" s="67"/>
    </row>
    <row r="424" customFormat="false" ht="15.75" hidden="false" customHeight="true" outlineLevel="0" collapsed="false">
      <c r="B424" s="67"/>
      <c r="C424" s="67"/>
      <c r="D424" s="67"/>
    </row>
    <row r="425" customFormat="false" ht="15.75" hidden="false" customHeight="true" outlineLevel="0" collapsed="false">
      <c r="B425" s="67"/>
      <c r="C425" s="67"/>
      <c r="D425" s="67"/>
    </row>
    <row r="426" customFormat="false" ht="15.75" hidden="false" customHeight="true" outlineLevel="0" collapsed="false">
      <c r="B426" s="67"/>
      <c r="C426" s="67"/>
      <c r="D426" s="67"/>
    </row>
    <row r="427" customFormat="false" ht="15.75" hidden="false" customHeight="true" outlineLevel="0" collapsed="false">
      <c r="B427" s="67"/>
      <c r="C427" s="67"/>
      <c r="D427" s="67"/>
    </row>
    <row r="428" customFormat="false" ht="15.75" hidden="false" customHeight="true" outlineLevel="0" collapsed="false">
      <c r="B428" s="67"/>
      <c r="C428" s="67"/>
      <c r="D428" s="67"/>
    </row>
    <row r="429" customFormat="false" ht="15.75" hidden="false" customHeight="true" outlineLevel="0" collapsed="false">
      <c r="B429" s="67"/>
      <c r="C429" s="67"/>
      <c r="D429" s="67"/>
    </row>
    <row r="430" customFormat="false" ht="15.75" hidden="false" customHeight="true" outlineLevel="0" collapsed="false">
      <c r="B430" s="67"/>
      <c r="C430" s="67"/>
      <c r="D430" s="67"/>
    </row>
    <row r="431" customFormat="false" ht="15.75" hidden="false" customHeight="true" outlineLevel="0" collapsed="false">
      <c r="B431" s="67"/>
      <c r="C431" s="67"/>
      <c r="D431" s="67"/>
    </row>
    <row r="432" customFormat="false" ht="15.75" hidden="false" customHeight="true" outlineLevel="0" collapsed="false">
      <c r="B432" s="67"/>
      <c r="C432" s="67"/>
      <c r="D432" s="67"/>
    </row>
    <row r="433" customFormat="false" ht="15.75" hidden="false" customHeight="true" outlineLevel="0" collapsed="false">
      <c r="B433" s="67"/>
      <c r="C433" s="67"/>
      <c r="D433" s="67"/>
    </row>
    <row r="434" customFormat="false" ht="15.75" hidden="false" customHeight="true" outlineLevel="0" collapsed="false">
      <c r="B434" s="67"/>
      <c r="C434" s="67"/>
      <c r="D434" s="67"/>
    </row>
    <row r="435" customFormat="false" ht="15.75" hidden="false" customHeight="true" outlineLevel="0" collapsed="false">
      <c r="B435" s="67"/>
      <c r="C435" s="67"/>
      <c r="D435" s="67"/>
    </row>
    <row r="436" customFormat="false" ht="15.75" hidden="false" customHeight="true" outlineLevel="0" collapsed="false">
      <c r="B436" s="67"/>
      <c r="C436" s="67"/>
      <c r="D436" s="67"/>
    </row>
    <row r="437" customFormat="false" ht="15.75" hidden="false" customHeight="true" outlineLevel="0" collapsed="false">
      <c r="B437" s="67"/>
      <c r="C437" s="67"/>
      <c r="D437" s="67"/>
    </row>
    <row r="438" customFormat="false" ht="15.75" hidden="false" customHeight="true" outlineLevel="0" collapsed="false">
      <c r="B438" s="67"/>
      <c r="C438" s="67"/>
      <c r="D438" s="67"/>
    </row>
    <row r="439" customFormat="false" ht="15.75" hidden="false" customHeight="true" outlineLevel="0" collapsed="false">
      <c r="B439" s="67"/>
      <c r="C439" s="67"/>
      <c r="D439" s="67"/>
    </row>
    <row r="440" customFormat="false" ht="15.75" hidden="false" customHeight="true" outlineLevel="0" collapsed="false">
      <c r="B440" s="67"/>
      <c r="C440" s="67"/>
      <c r="D440" s="67"/>
    </row>
    <row r="441" customFormat="false" ht="15.75" hidden="false" customHeight="true" outlineLevel="0" collapsed="false">
      <c r="B441" s="67"/>
      <c r="C441" s="67"/>
      <c r="D441" s="67"/>
    </row>
    <row r="442" customFormat="false" ht="15.75" hidden="false" customHeight="true" outlineLevel="0" collapsed="false">
      <c r="B442" s="67"/>
      <c r="C442" s="67"/>
      <c r="D442" s="67"/>
    </row>
    <row r="443" customFormat="false" ht="15.75" hidden="false" customHeight="true" outlineLevel="0" collapsed="false">
      <c r="B443" s="67"/>
      <c r="C443" s="67"/>
      <c r="D443" s="67"/>
    </row>
    <row r="444" customFormat="false" ht="15.75" hidden="false" customHeight="true" outlineLevel="0" collapsed="false">
      <c r="B444" s="67"/>
      <c r="C444" s="67"/>
      <c r="D444" s="67"/>
    </row>
    <row r="445" customFormat="false" ht="15.75" hidden="false" customHeight="true" outlineLevel="0" collapsed="false">
      <c r="B445" s="67"/>
      <c r="C445" s="67"/>
      <c r="D445" s="67"/>
    </row>
    <row r="446" customFormat="false" ht="15.75" hidden="false" customHeight="true" outlineLevel="0" collapsed="false">
      <c r="B446" s="67"/>
      <c r="C446" s="67"/>
      <c r="D446" s="67"/>
    </row>
    <row r="447" customFormat="false" ht="15.75" hidden="false" customHeight="true" outlineLevel="0" collapsed="false">
      <c r="B447" s="67"/>
      <c r="C447" s="67"/>
      <c r="D447" s="67"/>
    </row>
    <row r="448" customFormat="false" ht="15.75" hidden="false" customHeight="true" outlineLevel="0" collapsed="false">
      <c r="B448" s="67"/>
      <c r="C448" s="67"/>
      <c r="D448" s="67"/>
    </row>
    <row r="449" customFormat="false" ht="15.75" hidden="false" customHeight="true" outlineLevel="0" collapsed="false">
      <c r="B449" s="67"/>
      <c r="C449" s="67"/>
      <c r="D449" s="67"/>
    </row>
    <row r="450" customFormat="false" ht="15.75" hidden="false" customHeight="true" outlineLevel="0" collapsed="false">
      <c r="B450" s="67"/>
      <c r="C450" s="67"/>
      <c r="D450" s="67"/>
    </row>
    <row r="451" customFormat="false" ht="15.75" hidden="false" customHeight="true" outlineLevel="0" collapsed="false">
      <c r="B451" s="67"/>
      <c r="C451" s="67"/>
      <c r="D451" s="67"/>
    </row>
    <row r="452" customFormat="false" ht="15.75" hidden="false" customHeight="true" outlineLevel="0" collapsed="false">
      <c r="B452" s="67"/>
      <c r="C452" s="67"/>
      <c r="D452" s="67"/>
    </row>
    <row r="453" customFormat="false" ht="15.75" hidden="false" customHeight="true" outlineLevel="0" collapsed="false">
      <c r="B453" s="67"/>
      <c r="C453" s="67"/>
      <c r="D453" s="67"/>
    </row>
    <row r="454" customFormat="false" ht="15.75" hidden="false" customHeight="true" outlineLevel="0" collapsed="false">
      <c r="B454" s="67"/>
      <c r="C454" s="67"/>
      <c r="D454" s="67"/>
    </row>
    <row r="455" customFormat="false" ht="15.75" hidden="false" customHeight="true" outlineLevel="0" collapsed="false">
      <c r="B455" s="67"/>
      <c r="C455" s="67"/>
      <c r="D455" s="67"/>
    </row>
    <row r="456" customFormat="false" ht="15.75" hidden="false" customHeight="true" outlineLevel="0" collapsed="false">
      <c r="B456" s="67"/>
      <c r="C456" s="67"/>
      <c r="D456" s="67"/>
    </row>
    <row r="457" customFormat="false" ht="15.75" hidden="false" customHeight="true" outlineLevel="0" collapsed="false">
      <c r="B457" s="67"/>
      <c r="C457" s="67"/>
      <c r="D457" s="67"/>
    </row>
    <row r="458" customFormat="false" ht="15.75" hidden="false" customHeight="true" outlineLevel="0" collapsed="false">
      <c r="B458" s="67"/>
      <c r="C458" s="67"/>
      <c r="D458" s="67"/>
    </row>
    <row r="459" customFormat="false" ht="15.75" hidden="false" customHeight="true" outlineLevel="0" collapsed="false">
      <c r="B459" s="67"/>
      <c r="C459" s="67"/>
      <c r="D459" s="67"/>
    </row>
    <row r="460" customFormat="false" ht="15.75" hidden="false" customHeight="true" outlineLevel="0" collapsed="false">
      <c r="B460" s="67"/>
      <c r="C460" s="67"/>
      <c r="D460" s="67"/>
    </row>
    <row r="461" customFormat="false" ht="15.75" hidden="false" customHeight="true" outlineLevel="0" collapsed="false">
      <c r="B461" s="67"/>
      <c r="C461" s="67"/>
      <c r="D461" s="67"/>
    </row>
    <row r="462" customFormat="false" ht="15.75" hidden="false" customHeight="true" outlineLevel="0" collapsed="false">
      <c r="B462" s="67"/>
      <c r="C462" s="67"/>
      <c r="D462" s="67"/>
    </row>
    <row r="463" customFormat="false" ht="15.75" hidden="false" customHeight="true" outlineLevel="0" collapsed="false">
      <c r="B463" s="67"/>
      <c r="C463" s="67"/>
      <c r="D463" s="67"/>
    </row>
    <row r="464" customFormat="false" ht="15.75" hidden="false" customHeight="true" outlineLevel="0" collapsed="false">
      <c r="B464" s="67"/>
      <c r="C464" s="67"/>
      <c r="D464" s="67"/>
    </row>
    <row r="465" customFormat="false" ht="15.75" hidden="false" customHeight="true" outlineLevel="0" collapsed="false">
      <c r="B465" s="67"/>
      <c r="C465" s="67"/>
      <c r="D465" s="67"/>
    </row>
    <row r="466" customFormat="false" ht="15.75" hidden="false" customHeight="true" outlineLevel="0" collapsed="false">
      <c r="B466" s="67"/>
      <c r="C466" s="67"/>
      <c r="D466" s="67"/>
    </row>
    <row r="467" customFormat="false" ht="15.75" hidden="false" customHeight="true" outlineLevel="0" collapsed="false">
      <c r="B467" s="67"/>
      <c r="C467" s="67"/>
      <c r="D467" s="67"/>
    </row>
    <row r="468" customFormat="false" ht="15.75" hidden="false" customHeight="true" outlineLevel="0" collapsed="false">
      <c r="B468" s="67"/>
      <c r="C468" s="67"/>
      <c r="D468" s="67"/>
    </row>
    <row r="469" customFormat="false" ht="15.75" hidden="false" customHeight="true" outlineLevel="0" collapsed="false">
      <c r="B469" s="67"/>
      <c r="C469" s="67"/>
      <c r="D469" s="67"/>
    </row>
    <row r="470" customFormat="false" ht="15.75" hidden="false" customHeight="true" outlineLevel="0" collapsed="false">
      <c r="B470" s="67"/>
      <c r="C470" s="67"/>
      <c r="D470" s="67"/>
    </row>
    <row r="471" customFormat="false" ht="15.75" hidden="false" customHeight="true" outlineLevel="0" collapsed="false">
      <c r="B471" s="67"/>
      <c r="C471" s="67"/>
      <c r="D471" s="67"/>
    </row>
    <row r="472" customFormat="false" ht="15.75" hidden="false" customHeight="true" outlineLevel="0" collapsed="false">
      <c r="B472" s="67"/>
      <c r="C472" s="67"/>
      <c r="D472" s="67"/>
    </row>
    <row r="473" customFormat="false" ht="15.75" hidden="false" customHeight="true" outlineLevel="0" collapsed="false">
      <c r="B473" s="67"/>
      <c r="C473" s="67"/>
      <c r="D473" s="67"/>
    </row>
    <row r="474" customFormat="false" ht="15.75" hidden="false" customHeight="true" outlineLevel="0" collapsed="false">
      <c r="B474" s="67"/>
      <c r="C474" s="67"/>
      <c r="D474" s="67"/>
    </row>
    <row r="475" customFormat="false" ht="15.75" hidden="false" customHeight="true" outlineLevel="0" collapsed="false">
      <c r="B475" s="67"/>
      <c r="C475" s="67"/>
      <c r="D475" s="67"/>
    </row>
    <row r="476" customFormat="false" ht="15.75" hidden="false" customHeight="true" outlineLevel="0" collapsed="false">
      <c r="B476" s="67"/>
      <c r="C476" s="67"/>
      <c r="D476" s="67"/>
    </row>
    <row r="477" customFormat="false" ht="15.75" hidden="false" customHeight="true" outlineLevel="0" collapsed="false">
      <c r="B477" s="67"/>
      <c r="C477" s="67"/>
      <c r="D477" s="67"/>
    </row>
    <row r="478" customFormat="false" ht="15.75" hidden="false" customHeight="true" outlineLevel="0" collapsed="false">
      <c r="B478" s="67"/>
      <c r="C478" s="67"/>
      <c r="D478" s="67"/>
    </row>
    <row r="479" customFormat="false" ht="15.75" hidden="false" customHeight="true" outlineLevel="0" collapsed="false">
      <c r="B479" s="67"/>
      <c r="C479" s="67"/>
      <c r="D479" s="67"/>
    </row>
    <row r="480" customFormat="false" ht="15.75" hidden="false" customHeight="true" outlineLevel="0" collapsed="false">
      <c r="B480" s="67"/>
      <c r="C480" s="67"/>
      <c r="D480" s="67"/>
    </row>
    <row r="481" customFormat="false" ht="15.75" hidden="false" customHeight="true" outlineLevel="0" collapsed="false">
      <c r="B481" s="67"/>
      <c r="C481" s="67"/>
      <c r="D481" s="67"/>
    </row>
    <row r="482" customFormat="false" ht="15.75" hidden="false" customHeight="true" outlineLevel="0" collapsed="false">
      <c r="B482" s="67"/>
      <c r="C482" s="67"/>
      <c r="D482" s="67"/>
    </row>
    <row r="483" customFormat="false" ht="15.75" hidden="false" customHeight="true" outlineLevel="0" collapsed="false">
      <c r="B483" s="67"/>
      <c r="C483" s="67"/>
      <c r="D483" s="67"/>
    </row>
    <row r="484" customFormat="false" ht="15.75" hidden="false" customHeight="true" outlineLevel="0" collapsed="false">
      <c r="B484" s="67"/>
      <c r="C484" s="67"/>
      <c r="D484" s="67"/>
    </row>
    <row r="485" customFormat="false" ht="15.75" hidden="false" customHeight="true" outlineLevel="0" collapsed="false">
      <c r="B485" s="67"/>
      <c r="C485" s="67"/>
      <c r="D485" s="67"/>
    </row>
    <row r="486" customFormat="false" ht="15.75" hidden="false" customHeight="true" outlineLevel="0" collapsed="false">
      <c r="B486" s="67"/>
      <c r="C486" s="67"/>
      <c r="D486" s="67"/>
    </row>
    <row r="487" customFormat="false" ht="15.75" hidden="false" customHeight="true" outlineLevel="0" collapsed="false">
      <c r="B487" s="67"/>
      <c r="C487" s="67"/>
      <c r="D487" s="67"/>
    </row>
    <row r="488" customFormat="false" ht="15.75" hidden="false" customHeight="true" outlineLevel="0" collapsed="false">
      <c r="B488" s="67"/>
      <c r="C488" s="67"/>
      <c r="D488" s="67"/>
    </row>
    <row r="489" customFormat="false" ht="15.75" hidden="false" customHeight="true" outlineLevel="0" collapsed="false">
      <c r="B489" s="67"/>
      <c r="C489" s="67"/>
      <c r="D489" s="67"/>
    </row>
    <row r="490" customFormat="false" ht="15.75" hidden="false" customHeight="true" outlineLevel="0" collapsed="false">
      <c r="B490" s="67"/>
      <c r="C490" s="67"/>
      <c r="D490" s="67"/>
    </row>
    <row r="491" customFormat="false" ht="15.75" hidden="false" customHeight="true" outlineLevel="0" collapsed="false">
      <c r="B491" s="67"/>
      <c r="C491" s="67"/>
      <c r="D491" s="67"/>
    </row>
    <row r="492" customFormat="false" ht="15.75" hidden="false" customHeight="true" outlineLevel="0" collapsed="false">
      <c r="B492" s="67"/>
      <c r="C492" s="67"/>
      <c r="D492" s="67"/>
    </row>
    <row r="493" customFormat="false" ht="15.75" hidden="false" customHeight="true" outlineLevel="0" collapsed="false">
      <c r="B493" s="67"/>
      <c r="C493" s="67"/>
      <c r="D493" s="67"/>
    </row>
    <row r="494" customFormat="false" ht="15.75" hidden="false" customHeight="true" outlineLevel="0" collapsed="false">
      <c r="B494" s="67"/>
      <c r="C494" s="67"/>
      <c r="D494" s="67"/>
    </row>
    <row r="495" customFormat="false" ht="15.75" hidden="false" customHeight="true" outlineLevel="0" collapsed="false">
      <c r="B495" s="67"/>
      <c r="C495" s="67"/>
      <c r="D495" s="67"/>
    </row>
    <row r="496" customFormat="false" ht="15.75" hidden="false" customHeight="true" outlineLevel="0" collapsed="false">
      <c r="B496" s="67"/>
      <c r="C496" s="67"/>
      <c r="D496" s="67"/>
    </row>
    <row r="497" customFormat="false" ht="15.75" hidden="false" customHeight="true" outlineLevel="0" collapsed="false">
      <c r="B497" s="67"/>
      <c r="C497" s="67"/>
      <c r="D497" s="67"/>
    </row>
    <row r="498" customFormat="false" ht="15.75" hidden="false" customHeight="true" outlineLevel="0" collapsed="false">
      <c r="B498" s="67"/>
      <c r="C498" s="67"/>
      <c r="D498" s="67"/>
    </row>
    <row r="499" customFormat="false" ht="15.75" hidden="false" customHeight="true" outlineLevel="0" collapsed="false">
      <c r="B499" s="67"/>
      <c r="C499" s="67"/>
      <c r="D499" s="67"/>
    </row>
    <row r="500" customFormat="false" ht="15.75" hidden="false" customHeight="true" outlineLevel="0" collapsed="false">
      <c r="B500" s="67"/>
      <c r="C500" s="67"/>
      <c r="D500" s="67"/>
    </row>
    <row r="501" customFormat="false" ht="15.75" hidden="false" customHeight="true" outlineLevel="0" collapsed="false">
      <c r="B501" s="67"/>
      <c r="C501" s="67"/>
      <c r="D501" s="67"/>
    </row>
    <row r="502" customFormat="false" ht="15.75" hidden="false" customHeight="true" outlineLevel="0" collapsed="false">
      <c r="B502" s="67"/>
      <c r="C502" s="67"/>
      <c r="D502" s="67"/>
    </row>
    <row r="503" customFormat="false" ht="15.75" hidden="false" customHeight="true" outlineLevel="0" collapsed="false">
      <c r="B503" s="67"/>
      <c r="C503" s="67"/>
      <c r="D503" s="67"/>
    </row>
    <row r="504" customFormat="false" ht="15.75" hidden="false" customHeight="true" outlineLevel="0" collapsed="false">
      <c r="B504" s="67"/>
      <c r="C504" s="67"/>
      <c r="D504" s="67"/>
    </row>
    <row r="505" customFormat="false" ht="15.75" hidden="false" customHeight="true" outlineLevel="0" collapsed="false">
      <c r="B505" s="67"/>
      <c r="C505" s="67"/>
      <c r="D505" s="67"/>
    </row>
    <row r="506" customFormat="false" ht="15.75" hidden="false" customHeight="true" outlineLevel="0" collapsed="false">
      <c r="B506" s="67"/>
      <c r="C506" s="67"/>
      <c r="D506" s="67"/>
    </row>
    <row r="507" customFormat="false" ht="15.75" hidden="false" customHeight="true" outlineLevel="0" collapsed="false">
      <c r="B507" s="67"/>
      <c r="C507" s="67"/>
      <c r="D507" s="67"/>
    </row>
    <row r="508" customFormat="false" ht="15.75" hidden="false" customHeight="true" outlineLevel="0" collapsed="false">
      <c r="B508" s="67"/>
      <c r="C508" s="67"/>
      <c r="D508" s="67"/>
    </row>
    <row r="509" customFormat="false" ht="15.75" hidden="false" customHeight="true" outlineLevel="0" collapsed="false">
      <c r="B509" s="67"/>
      <c r="C509" s="67"/>
      <c r="D509" s="67"/>
    </row>
    <row r="510" customFormat="false" ht="15.75" hidden="false" customHeight="true" outlineLevel="0" collapsed="false">
      <c r="B510" s="67"/>
      <c r="C510" s="67"/>
      <c r="D510" s="67"/>
    </row>
    <row r="511" customFormat="false" ht="15.75" hidden="false" customHeight="true" outlineLevel="0" collapsed="false">
      <c r="B511" s="67"/>
      <c r="C511" s="67"/>
      <c r="D511" s="67"/>
    </row>
    <row r="512" customFormat="false" ht="15.75" hidden="false" customHeight="true" outlineLevel="0" collapsed="false">
      <c r="B512" s="67"/>
      <c r="C512" s="67"/>
      <c r="D512" s="67"/>
    </row>
    <row r="513" customFormat="false" ht="15.75" hidden="false" customHeight="true" outlineLevel="0" collapsed="false">
      <c r="B513" s="67"/>
      <c r="C513" s="67"/>
      <c r="D513" s="67"/>
    </row>
    <row r="514" customFormat="false" ht="15.75" hidden="false" customHeight="true" outlineLevel="0" collapsed="false">
      <c r="B514" s="67"/>
      <c r="C514" s="67"/>
      <c r="D514" s="67"/>
    </row>
    <row r="515" customFormat="false" ht="15.75" hidden="false" customHeight="true" outlineLevel="0" collapsed="false">
      <c r="B515" s="67"/>
      <c r="C515" s="67"/>
      <c r="D515" s="67"/>
    </row>
    <row r="516" customFormat="false" ht="15.75" hidden="false" customHeight="true" outlineLevel="0" collapsed="false">
      <c r="B516" s="67"/>
      <c r="C516" s="67"/>
      <c r="D516" s="67"/>
    </row>
    <row r="517" customFormat="false" ht="15.75" hidden="false" customHeight="true" outlineLevel="0" collapsed="false">
      <c r="B517" s="67"/>
      <c r="C517" s="67"/>
      <c r="D517" s="67"/>
    </row>
    <row r="518" customFormat="false" ht="15.75" hidden="false" customHeight="true" outlineLevel="0" collapsed="false">
      <c r="B518" s="67"/>
      <c r="C518" s="67"/>
      <c r="D518" s="67"/>
    </row>
    <row r="519" customFormat="false" ht="15.75" hidden="false" customHeight="true" outlineLevel="0" collapsed="false">
      <c r="B519" s="67"/>
      <c r="C519" s="67"/>
      <c r="D519" s="67"/>
    </row>
    <row r="520" customFormat="false" ht="15.75" hidden="false" customHeight="true" outlineLevel="0" collapsed="false">
      <c r="B520" s="67"/>
      <c r="C520" s="67"/>
      <c r="D520" s="67"/>
    </row>
    <row r="521" customFormat="false" ht="15.75" hidden="false" customHeight="true" outlineLevel="0" collapsed="false">
      <c r="B521" s="67"/>
      <c r="C521" s="67"/>
      <c r="D521" s="67"/>
    </row>
    <row r="522" customFormat="false" ht="15.75" hidden="false" customHeight="true" outlineLevel="0" collapsed="false">
      <c r="B522" s="67"/>
      <c r="C522" s="67"/>
      <c r="D522" s="67"/>
    </row>
    <row r="523" customFormat="false" ht="15.75" hidden="false" customHeight="true" outlineLevel="0" collapsed="false">
      <c r="B523" s="67"/>
      <c r="C523" s="67"/>
      <c r="D523" s="67"/>
    </row>
    <row r="524" customFormat="false" ht="15.75" hidden="false" customHeight="true" outlineLevel="0" collapsed="false">
      <c r="B524" s="67"/>
      <c r="C524" s="67"/>
      <c r="D524" s="67"/>
    </row>
    <row r="525" customFormat="false" ht="15.75" hidden="false" customHeight="true" outlineLevel="0" collapsed="false">
      <c r="B525" s="67"/>
      <c r="C525" s="67"/>
      <c r="D525" s="67"/>
    </row>
    <row r="526" customFormat="false" ht="15.75" hidden="false" customHeight="true" outlineLevel="0" collapsed="false">
      <c r="B526" s="67"/>
      <c r="C526" s="67"/>
      <c r="D526" s="67"/>
    </row>
    <row r="527" customFormat="false" ht="15.75" hidden="false" customHeight="true" outlineLevel="0" collapsed="false">
      <c r="B527" s="67"/>
      <c r="C527" s="67"/>
      <c r="D527" s="67"/>
    </row>
    <row r="528" customFormat="false" ht="15.75" hidden="false" customHeight="true" outlineLevel="0" collapsed="false">
      <c r="B528" s="67"/>
      <c r="C528" s="67"/>
      <c r="D528" s="67"/>
    </row>
    <row r="529" customFormat="false" ht="15.75" hidden="false" customHeight="true" outlineLevel="0" collapsed="false">
      <c r="B529" s="67"/>
      <c r="C529" s="67"/>
      <c r="D529" s="67"/>
    </row>
    <row r="530" customFormat="false" ht="15.75" hidden="false" customHeight="true" outlineLevel="0" collapsed="false">
      <c r="B530" s="67"/>
      <c r="C530" s="67"/>
      <c r="D530" s="67"/>
    </row>
    <row r="531" customFormat="false" ht="15.75" hidden="false" customHeight="true" outlineLevel="0" collapsed="false">
      <c r="B531" s="67"/>
      <c r="C531" s="67"/>
      <c r="D531" s="67"/>
    </row>
    <row r="532" customFormat="false" ht="15.75" hidden="false" customHeight="true" outlineLevel="0" collapsed="false">
      <c r="B532" s="67"/>
      <c r="C532" s="67"/>
      <c r="D532" s="67"/>
    </row>
    <row r="533" customFormat="false" ht="15.75" hidden="false" customHeight="true" outlineLevel="0" collapsed="false">
      <c r="B533" s="67"/>
      <c r="C533" s="67"/>
      <c r="D533" s="67"/>
    </row>
    <row r="534" customFormat="false" ht="15.75" hidden="false" customHeight="true" outlineLevel="0" collapsed="false">
      <c r="B534" s="67"/>
      <c r="C534" s="67"/>
      <c r="D534" s="67"/>
    </row>
    <row r="535" customFormat="false" ht="15.75" hidden="false" customHeight="true" outlineLevel="0" collapsed="false">
      <c r="B535" s="67"/>
      <c r="C535" s="67"/>
      <c r="D535" s="67"/>
    </row>
    <row r="536" customFormat="false" ht="15.75" hidden="false" customHeight="true" outlineLevel="0" collapsed="false">
      <c r="B536" s="67"/>
      <c r="C536" s="67"/>
      <c r="D536" s="67"/>
    </row>
    <row r="537" customFormat="false" ht="15.75" hidden="false" customHeight="true" outlineLevel="0" collapsed="false">
      <c r="B537" s="67"/>
      <c r="C537" s="67"/>
      <c r="D537" s="67"/>
    </row>
    <row r="538" customFormat="false" ht="15.75" hidden="false" customHeight="true" outlineLevel="0" collapsed="false">
      <c r="B538" s="67"/>
      <c r="C538" s="67"/>
      <c r="D538" s="67"/>
    </row>
    <row r="539" customFormat="false" ht="15.75" hidden="false" customHeight="true" outlineLevel="0" collapsed="false">
      <c r="B539" s="67"/>
      <c r="C539" s="67"/>
      <c r="D539" s="67"/>
    </row>
    <row r="540" customFormat="false" ht="15.75" hidden="false" customHeight="true" outlineLevel="0" collapsed="false">
      <c r="B540" s="67"/>
      <c r="C540" s="67"/>
      <c r="D540" s="67"/>
    </row>
    <row r="541" customFormat="false" ht="15.75" hidden="false" customHeight="true" outlineLevel="0" collapsed="false">
      <c r="B541" s="67"/>
      <c r="C541" s="67"/>
      <c r="D541" s="67"/>
    </row>
    <row r="542" customFormat="false" ht="15.75" hidden="false" customHeight="true" outlineLevel="0" collapsed="false">
      <c r="B542" s="67"/>
      <c r="C542" s="67"/>
      <c r="D542" s="67"/>
    </row>
    <row r="543" customFormat="false" ht="15.75" hidden="false" customHeight="true" outlineLevel="0" collapsed="false">
      <c r="B543" s="67"/>
      <c r="C543" s="67"/>
      <c r="D543" s="67"/>
    </row>
    <row r="544" customFormat="false" ht="15.75" hidden="false" customHeight="true" outlineLevel="0" collapsed="false">
      <c r="B544" s="67"/>
      <c r="C544" s="67"/>
      <c r="D544" s="67"/>
    </row>
    <row r="545" customFormat="false" ht="15.75" hidden="false" customHeight="true" outlineLevel="0" collapsed="false">
      <c r="B545" s="67"/>
      <c r="C545" s="67"/>
      <c r="D545" s="67"/>
    </row>
    <row r="546" customFormat="false" ht="15.75" hidden="false" customHeight="true" outlineLevel="0" collapsed="false">
      <c r="B546" s="67"/>
      <c r="C546" s="67"/>
      <c r="D546" s="67"/>
    </row>
    <row r="547" customFormat="false" ht="15.75" hidden="false" customHeight="true" outlineLevel="0" collapsed="false">
      <c r="B547" s="67"/>
      <c r="C547" s="67"/>
      <c r="D547" s="67"/>
    </row>
    <row r="548" customFormat="false" ht="15.75" hidden="false" customHeight="true" outlineLevel="0" collapsed="false">
      <c r="B548" s="67"/>
      <c r="C548" s="67"/>
      <c r="D548" s="67"/>
    </row>
    <row r="549" customFormat="false" ht="15.75" hidden="false" customHeight="true" outlineLevel="0" collapsed="false">
      <c r="B549" s="67"/>
      <c r="C549" s="67"/>
      <c r="D549" s="67"/>
    </row>
    <row r="550" customFormat="false" ht="15.75" hidden="false" customHeight="true" outlineLevel="0" collapsed="false">
      <c r="B550" s="67"/>
      <c r="C550" s="67"/>
      <c r="D550" s="67"/>
    </row>
    <row r="551" customFormat="false" ht="15.75" hidden="false" customHeight="true" outlineLevel="0" collapsed="false">
      <c r="B551" s="67"/>
      <c r="C551" s="67"/>
      <c r="D551" s="67"/>
    </row>
    <row r="552" customFormat="false" ht="15.75" hidden="false" customHeight="true" outlineLevel="0" collapsed="false">
      <c r="B552" s="67"/>
      <c r="C552" s="67"/>
      <c r="D552" s="67"/>
    </row>
    <row r="553" customFormat="false" ht="15.75" hidden="false" customHeight="true" outlineLevel="0" collapsed="false">
      <c r="B553" s="67"/>
      <c r="C553" s="67"/>
      <c r="D553" s="67"/>
    </row>
    <row r="554" customFormat="false" ht="15.75" hidden="false" customHeight="true" outlineLevel="0" collapsed="false">
      <c r="B554" s="67"/>
      <c r="C554" s="67"/>
      <c r="D554" s="67"/>
    </row>
    <row r="555" customFormat="false" ht="15.75" hidden="false" customHeight="true" outlineLevel="0" collapsed="false">
      <c r="B555" s="67"/>
      <c r="C555" s="67"/>
      <c r="D555" s="67"/>
    </row>
    <row r="556" customFormat="false" ht="15.75" hidden="false" customHeight="true" outlineLevel="0" collapsed="false">
      <c r="B556" s="67"/>
      <c r="C556" s="67"/>
      <c r="D556" s="67"/>
    </row>
    <row r="557" customFormat="false" ht="15.75" hidden="false" customHeight="true" outlineLevel="0" collapsed="false">
      <c r="B557" s="67"/>
      <c r="C557" s="67"/>
      <c r="D557" s="67"/>
    </row>
    <row r="558" customFormat="false" ht="15.75" hidden="false" customHeight="true" outlineLevel="0" collapsed="false">
      <c r="B558" s="67"/>
      <c r="C558" s="67"/>
      <c r="D558" s="67"/>
    </row>
    <row r="559" customFormat="false" ht="15.75" hidden="false" customHeight="true" outlineLevel="0" collapsed="false">
      <c r="B559" s="67"/>
      <c r="C559" s="67"/>
      <c r="D559" s="67"/>
    </row>
    <row r="560" customFormat="false" ht="15.75" hidden="false" customHeight="true" outlineLevel="0" collapsed="false">
      <c r="B560" s="67"/>
      <c r="C560" s="67"/>
      <c r="D560" s="67"/>
    </row>
    <row r="561" customFormat="false" ht="15.75" hidden="false" customHeight="true" outlineLevel="0" collapsed="false">
      <c r="B561" s="67"/>
      <c r="C561" s="67"/>
      <c r="D561" s="67"/>
    </row>
    <row r="562" customFormat="false" ht="15.75" hidden="false" customHeight="true" outlineLevel="0" collapsed="false">
      <c r="B562" s="67"/>
      <c r="C562" s="67"/>
      <c r="D562" s="67"/>
    </row>
    <row r="563" customFormat="false" ht="15.75" hidden="false" customHeight="true" outlineLevel="0" collapsed="false">
      <c r="B563" s="67"/>
      <c r="C563" s="67"/>
      <c r="D563" s="67"/>
    </row>
    <row r="564" customFormat="false" ht="15.75" hidden="false" customHeight="true" outlineLevel="0" collapsed="false">
      <c r="B564" s="67"/>
      <c r="C564" s="67"/>
      <c r="D564" s="67"/>
    </row>
    <row r="565" customFormat="false" ht="15.75" hidden="false" customHeight="true" outlineLevel="0" collapsed="false">
      <c r="B565" s="67"/>
      <c r="C565" s="67"/>
      <c r="D565" s="67"/>
    </row>
    <row r="566" customFormat="false" ht="15.75" hidden="false" customHeight="true" outlineLevel="0" collapsed="false">
      <c r="B566" s="67"/>
      <c r="C566" s="67"/>
      <c r="D566" s="67"/>
    </row>
    <row r="567" customFormat="false" ht="15.75" hidden="false" customHeight="true" outlineLevel="0" collapsed="false">
      <c r="B567" s="67"/>
      <c r="C567" s="67"/>
      <c r="D567" s="67"/>
    </row>
    <row r="568" customFormat="false" ht="15.75" hidden="false" customHeight="true" outlineLevel="0" collapsed="false">
      <c r="B568" s="67"/>
      <c r="C568" s="67"/>
      <c r="D568" s="67"/>
    </row>
    <row r="569" customFormat="false" ht="15.75" hidden="false" customHeight="true" outlineLevel="0" collapsed="false">
      <c r="B569" s="67"/>
      <c r="C569" s="67"/>
      <c r="D569" s="67"/>
    </row>
    <row r="570" customFormat="false" ht="15.75" hidden="false" customHeight="true" outlineLevel="0" collapsed="false">
      <c r="B570" s="67"/>
      <c r="C570" s="67"/>
      <c r="D570" s="67"/>
    </row>
    <row r="571" customFormat="false" ht="15.75" hidden="false" customHeight="true" outlineLevel="0" collapsed="false">
      <c r="B571" s="67"/>
      <c r="C571" s="67"/>
      <c r="D571" s="67"/>
    </row>
    <row r="572" customFormat="false" ht="15.75" hidden="false" customHeight="true" outlineLevel="0" collapsed="false">
      <c r="B572" s="67"/>
      <c r="C572" s="67"/>
      <c r="D572" s="67"/>
    </row>
    <row r="573" customFormat="false" ht="15.75" hidden="false" customHeight="true" outlineLevel="0" collapsed="false">
      <c r="B573" s="67"/>
      <c r="C573" s="67"/>
      <c r="D573" s="67"/>
    </row>
    <row r="574" customFormat="false" ht="15.75" hidden="false" customHeight="true" outlineLevel="0" collapsed="false">
      <c r="B574" s="67"/>
      <c r="C574" s="67"/>
      <c r="D574" s="67"/>
    </row>
    <row r="575" customFormat="false" ht="15.75" hidden="false" customHeight="true" outlineLevel="0" collapsed="false">
      <c r="B575" s="67"/>
      <c r="C575" s="67"/>
      <c r="D575" s="67"/>
    </row>
    <row r="576" customFormat="false" ht="15.75" hidden="false" customHeight="true" outlineLevel="0" collapsed="false">
      <c r="B576" s="67"/>
      <c r="C576" s="67"/>
      <c r="D576" s="67"/>
    </row>
    <row r="577" customFormat="false" ht="15.75" hidden="false" customHeight="true" outlineLevel="0" collapsed="false">
      <c r="B577" s="67"/>
      <c r="C577" s="67"/>
      <c r="D577" s="67"/>
    </row>
    <row r="578" customFormat="false" ht="15.75" hidden="false" customHeight="true" outlineLevel="0" collapsed="false">
      <c r="B578" s="67"/>
      <c r="C578" s="67"/>
      <c r="D578" s="67"/>
    </row>
    <row r="579" customFormat="false" ht="15.75" hidden="false" customHeight="true" outlineLevel="0" collapsed="false">
      <c r="B579" s="67"/>
      <c r="C579" s="67"/>
      <c r="D579" s="67"/>
    </row>
    <row r="580" customFormat="false" ht="15.75" hidden="false" customHeight="true" outlineLevel="0" collapsed="false">
      <c r="B580" s="67"/>
      <c r="C580" s="67"/>
      <c r="D580" s="67"/>
    </row>
    <row r="581" customFormat="false" ht="15.75" hidden="false" customHeight="true" outlineLevel="0" collapsed="false">
      <c r="B581" s="67"/>
      <c r="C581" s="67"/>
      <c r="D581" s="67"/>
    </row>
    <row r="582" customFormat="false" ht="15.75" hidden="false" customHeight="true" outlineLevel="0" collapsed="false">
      <c r="B582" s="67"/>
      <c r="C582" s="67"/>
      <c r="D582" s="67"/>
    </row>
    <row r="583" customFormat="false" ht="15.75" hidden="false" customHeight="true" outlineLevel="0" collapsed="false">
      <c r="B583" s="67"/>
      <c r="C583" s="67"/>
      <c r="D583" s="67"/>
    </row>
    <row r="584" customFormat="false" ht="15.75" hidden="false" customHeight="true" outlineLevel="0" collapsed="false">
      <c r="B584" s="67"/>
      <c r="C584" s="67"/>
      <c r="D584" s="67"/>
    </row>
    <row r="585" customFormat="false" ht="15.75" hidden="false" customHeight="true" outlineLevel="0" collapsed="false">
      <c r="B585" s="67"/>
      <c r="C585" s="67"/>
      <c r="D585" s="67"/>
    </row>
    <row r="586" customFormat="false" ht="15.75" hidden="false" customHeight="true" outlineLevel="0" collapsed="false">
      <c r="B586" s="67"/>
      <c r="C586" s="67"/>
      <c r="D586" s="67"/>
    </row>
    <row r="587" customFormat="false" ht="15.75" hidden="false" customHeight="true" outlineLevel="0" collapsed="false">
      <c r="B587" s="67"/>
      <c r="C587" s="67"/>
      <c r="D587" s="67"/>
    </row>
    <row r="588" customFormat="false" ht="15.75" hidden="false" customHeight="true" outlineLevel="0" collapsed="false">
      <c r="B588" s="67"/>
      <c r="C588" s="67"/>
      <c r="D588" s="67"/>
    </row>
    <row r="589" customFormat="false" ht="15.75" hidden="false" customHeight="true" outlineLevel="0" collapsed="false">
      <c r="B589" s="67"/>
      <c r="C589" s="67"/>
      <c r="D589" s="67"/>
    </row>
    <row r="590" customFormat="false" ht="15.75" hidden="false" customHeight="true" outlineLevel="0" collapsed="false">
      <c r="B590" s="67"/>
      <c r="C590" s="67"/>
      <c r="D590" s="67"/>
    </row>
    <row r="591" customFormat="false" ht="15.75" hidden="false" customHeight="true" outlineLevel="0" collapsed="false">
      <c r="B591" s="67"/>
      <c r="C591" s="67"/>
      <c r="D591" s="67"/>
    </row>
    <row r="592" customFormat="false" ht="15.75" hidden="false" customHeight="true" outlineLevel="0" collapsed="false">
      <c r="B592" s="67"/>
      <c r="C592" s="67"/>
      <c r="D592" s="67"/>
    </row>
    <row r="593" customFormat="false" ht="15.75" hidden="false" customHeight="true" outlineLevel="0" collapsed="false">
      <c r="B593" s="67"/>
      <c r="C593" s="67"/>
      <c r="D593" s="67"/>
    </row>
    <row r="594" customFormat="false" ht="15.75" hidden="false" customHeight="true" outlineLevel="0" collapsed="false">
      <c r="B594" s="67"/>
      <c r="C594" s="67"/>
      <c r="D594" s="67"/>
    </row>
    <row r="595" customFormat="false" ht="15.75" hidden="false" customHeight="true" outlineLevel="0" collapsed="false">
      <c r="B595" s="67"/>
      <c r="C595" s="67"/>
      <c r="D595" s="67"/>
    </row>
    <row r="596" customFormat="false" ht="15.75" hidden="false" customHeight="true" outlineLevel="0" collapsed="false">
      <c r="B596" s="67"/>
      <c r="C596" s="67"/>
      <c r="D596" s="67"/>
    </row>
    <row r="597" customFormat="false" ht="15.75" hidden="false" customHeight="true" outlineLevel="0" collapsed="false">
      <c r="B597" s="67"/>
      <c r="C597" s="67"/>
      <c r="D597" s="67"/>
    </row>
    <row r="598" customFormat="false" ht="15.75" hidden="false" customHeight="true" outlineLevel="0" collapsed="false">
      <c r="B598" s="67"/>
      <c r="C598" s="67"/>
      <c r="D598" s="67"/>
    </row>
    <row r="599" customFormat="false" ht="15.75" hidden="false" customHeight="true" outlineLevel="0" collapsed="false">
      <c r="B599" s="67"/>
      <c r="C599" s="67"/>
      <c r="D599" s="67"/>
    </row>
    <row r="600" customFormat="false" ht="15.75" hidden="false" customHeight="true" outlineLevel="0" collapsed="false">
      <c r="B600" s="67"/>
      <c r="C600" s="67"/>
      <c r="D600" s="67"/>
    </row>
    <row r="601" customFormat="false" ht="15.75" hidden="false" customHeight="true" outlineLevel="0" collapsed="false">
      <c r="B601" s="67"/>
      <c r="C601" s="67"/>
      <c r="D601" s="67"/>
    </row>
    <row r="602" customFormat="false" ht="15.75" hidden="false" customHeight="true" outlineLevel="0" collapsed="false">
      <c r="B602" s="67"/>
      <c r="C602" s="67"/>
      <c r="D602" s="67"/>
    </row>
    <row r="603" customFormat="false" ht="15.75" hidden="false" customHeight="true" outlineLevel="0" collapsed="false">
      <c r="B603" s="67"/>
      <c r="C603" s="67"/>
      <c r="D603" s="67"/>
    </row>
    <row r="604" customFormat="false" ht="15.75" hidden="false" customHeight="true" outlineLevel="0" collapsed="false">
      <c r="B604" s="67"/>
      <c r="C604" s="67"/>
      <c r="D604" s="67"/>
    </row>
    <row r="605" customFormat="false" ht="15.75" hidden="false" customHeight="true" outlineLevel="0" collapsed="false">
      <c r="B605" s="67"/>
      <c r="C605" s="67"/>
      <c r="D605" s="67"/>
    </row>
    <row r="606" customFormat="false" ht="15.75" hidden="false" customHeight="true" outlineLevel="0" collapsed="false">
      <c r="B606" s="67"/>
      <c r="C606" s="67"/>
      <c r="D606" s="67"/>
    </row>
    <row r="607" customFormat="false" ht="15.75" hidden="false" customHeight="true" outlineLevel="0" collapsed="false">
      <c r="B607" s="67"/>
      <c r="C607" s="67"/>
      <c r="D607" s="67"/>
    </row>
    <row r="608" customFormat="false" ht="15.75" hidden="false" customHeight="true" outlineLevel="0" collapsed="false">
      <c r="B608" s="67"/>
      <c r="C608" s="67"/>
      <c r="D608" s="67"/>
    </row>
    <row r="609" customFormat="false" ht="15.75" hidden="false" customHeight="true" outlineLevel="0" collapsed="false">
      <c r="B609" s="67"/>
      <c r="C609" s="67"/>
      <c r="D609" s="67"/>
    </row>
    <row r="610" customFormat="false" ht="15.75" hidden="false" customHeight="true" outlineLevel="0" collapsed="false">
      <c r="B610" s="67"/>
      <c r="C610" s="67"/>
      <c r="D610" s="67"/>
    </row>
    <row r="611" customFormat="false" ht="15.75" hidden="false" customHeight="true" outlineLevel="0" collapsed="false">
      <c r="B611" s="67"/>
      <c r="C611" s="67"/>
      <c r="D611" s="67"/>
    </row>
    <row r="612" customFormat="false" ht="15.75" hidden="false" customHeight="true" outlineLevel="0" collapsed="false">
      <c r="B612" s="67"/>
      <c r="C612" s="67"/>
      <c r="D612" s="67"/>
    </row>
    <row r="613" customFormat="false" ht="15.75" hidden="false" customHeight="true" outlineLevel="0" collapsed="false">
      <c r="B613" s="67"/>
      <c r="C613" s="67"/>
      <c r="D613" s="67"/>
    </row>
    <row r="614" customFormat="false" ht="15.75" hidden="false" customHeight="true" outlineLevel="0" collapsed="false">
      <c r="B614" s="67"/>
      <c r="C614" s="67"/>
      <c r="D614" s="67"/>
    </row>
    <row r="615" customFormat="false" ht="15.75" hidden="false" customHeight="true" outlineLevel="0" collapsed="false">
      <c r="B615" s="67"/>
      <c r="C615" s="67"/>
      <c r="D615" s="67"/>
    </row>
    <row r="616" customFormat="false" ht="15.75" hidden="false" customHeight="true" outlineLevel="0" collapsed="false">
      <c r="B616" s="67"/>
      <c r="C616" s="67"/>
      <c r="D616" s="67"/>
    </row>
    <row r="617" customFormat="false" ht="15.75" hidden="false" customHeight="true" outlineLevel="0" collapsed="false">
      <c r="B617" s="67"/>
      <c r="C617" s="67"/>
      <c r="D617" s="67"/>
    </row>
    <row r="618" customFormat="false" ht="15.75" hidden="false" customHeight="true" outlineLevel="0" collapsed="false">
      <c r="B618" s="67"/>
      <c r="C618" s="67"/>
      <c r="D618" s="67"/>
    </row>
    <row r="619" customFormat="false" ht="15.75" hidden="false" customHeight="true" outlineLevel="0" collapsed="false">
      <c r="B619" s="67"/>
      <c r="C619" s="67"/>
      <c r="D619" s="67"/>
    </row>
    <row r="620" customFormat="false" ht="15.75" hidden="false" customHeight="true" outlineLevel="0" collapsed="false">
      <c r="B620" s="67"/>
      <c r="C620" s="67"/>
      <c r="D620" s="67"/>
    </row>
    <row r="621" customFormat="false" ht="15.75" hidden="false" customHeight="true" outlineLevel="0" collapsed="false">
      <c r="B621" s="67"/>
      <c r="C621" s="67"/>
      <c r="D621" s="67"/>
    </row>
    <row r="622" customFormat="false" ht="15.75" hidden="false" customHeight="true" outlineLevel="0" collapsed="false">
      <c r="B622" s="67"/>
      <c r="C622" s="67"/>
      <c r="D622" s="67"/>
    </row>
    <row r="623" customFormat="false" ht="15.75" hidden="false" customHeight="true" outlineLevel="0" collapsed="false">
      <c r="B623" s="67"/>
      <c r="C623" s="67"/>
      <c r="D623" s="67"/>
    </row>
    <row r="624" customFormat="false" ht="15.75" hidden="false" customHeight="true" outlineLevel="0" collapsed="false">
      <c r="B624" s="67"/>
      <c r="C624" s="67"/>
      <c r="D624" s="67"/>
    </row>
    <row r="625" customFormat="false" ht="15.75" hidden="false" customHeight="true" outlineLevel="0" collapsed="false">
      <c r="B625" s="67"/>
      <c r="C625" s="67"/>
      <c r="D625" s="67"/>
    </row>
    <row r="626" customFormat="false" ht="15.75" hidden="false" customHeight="true" outlineLevel="0" collapsed="false">
      <c r="B626" s="67"/>
      <c r="C626" s="67"/>
      <c r="D626" s="67"/>
    </row>
    <row r="627" customFormat="false" ht="15.75" hidden="false" customHeight="true" outlineLevel="0" collapsed="false">
      <c r="B627" s="67"/>
      <c r="C627" s="67"/>
      <c r="D627" s="67"/>
    </row>
    <row r="628" customFormat="false" ht="15.75" hidden="false" customHeight="true" outlineLevel="0" collapsed="false">
      <c r="B628" s="67"/>
      <c r="C628" s="67"/>
      <c r="D628" s="67"/>
    </row>
    <row r="629" customFormat="false" ht="15.75" hidden="false" customHeight="true" outlineLevel="0" collapsed="false">
      <c r="B629" s="67"/>
      <c r="C629" s="67"/>
      <c r="D629" s="67"/>
    </row>
    <row r="630" customFormat="false" ht="15.75" hidden="false" customHeight="true" outlineLevel="0" collapsed="false">
      <c r="B630" s="67"/>
      <c r="C630" s="67"/>
      <c r="D630" s="67"/>
    </row>
    <row r="631" customFormat="false" ht="15.75" hidden="false" customHeight="true" outlineLevel="0" collapsed="false">
      <c r="B631" s="67"/>
      <c r="C631" s="67"/>
      <c r="D631" s="67"/>
    </row>
    <row r="632" customFormat="false" ht="15.75" hidden="false" customHeight="true" outlineLevel="0" collapsed="false">
      <c r="B632" s="67"/>
      <c r="C632" s="67"/>
      <c r="D632" s="67"/>
    </row>
    <row r="633" customFormat="false" ht="15.75" hidden="false" customHeight="true" outlineLevel="0" collapsed="false">
      <c r="B633" s="67"/>
      <c r="C633" s="67"/>
      <c r="D633" s="67"/>
    </row>
    <row r="634" customFormat="false" ht="15.75" hidden="false" customHeight="true" outlineLevel="0" collapsed="false">
      <c r="B634" s="67"/>
      <c r="C634" s="67"/>
      <c r="D634" s="67"/>
    </row>
    <row r="635" customFormat="false" ht="15.75" hidden="false" customHeight="true" outlineLevel="0" collapsed="false">
      <c r="B635" s="67"/>
      <c r="C635" s="67"/>
      <c r="D635" s="67"/>
    </row>
    <row r="636" customFormat="false" ht="15.75" hidden="false" customHeight="true" outlineLevel="0" collapsed="false">
      <c r="B636" s="67"/>
      <c r="C636" s="67"/>
      <c r="D636" s="67"/>
    </row>
    <row r="637" customFormat="false" ht="15.75" hidden="false" customHeight="true" outlineLevel="0" collapsed="false">
      <c r="B637" s="67"/>
      <c r="C637" s="67"/>
      <c r="D637" s="67"/>
    </row>
    <row r="638" customFormat="false" ht="15.75" hidden="false" customHeight="true" outlineLevel="0" collapsed="false">
      <c r="B638" s="67"/>
      <c r="C638" s="67"/>
      <c r="D638" s="67"/>
    </row>
    <row r="639" customFormat="false" ht="15.75" hidden="false" customHeight="true" outlineLevel="0" collapsed="false">
      <c r="B639" s="67"/>
      <c r="C639" s="67"/>
      <c r="D639" s="67"/>
    </row>
    <row r="640" customFormat="false" ht="15.75" hidden="false" customHeight="true" outlineLevel="0" collapsed="false">
      <c r="B640" s="67"/>
      <c r="C640" s="67"/>
      <c r="D640" s="67"/>
    </row>
    <row r="641" customFormat="false" ht="15.75" hidden="false" customHeight="true" outlineLevel="0" collapsed="false">
      <c r="B641" s="67"/>
      <c r="C641" s="67"/>
      <c r="D641" s="67"/>
    </row>
    <row r="642" customFormat="false" ht="15.75" hidden="false" customHeight="true" outlineLevel="0" collapsed="false">
      <c r="B642" s="67"/>
      <c r="C642" s="67"/>
      <c r="D642" s="67"/>
    </row>
    <row r="643" customFormat="false" ht="15.75" hidden="false" customHeight="true" outlineLevel="0" collapsed="false">
      <c r="B643" s="67"/>
      <c r="C643" s="67"/>
      <c r="D643" s="67"/>
    </row>
    <row r="644" customFormat="false" ht="15.75" hidden="false" customHeight="true" outlineLevel="0" collapsed="false">
      <c r="B644" s="67"/>
      <c r="C644" s="67"/>
      <c r="D644" s="67"/>
    </row>
    <row r="645" customFormat="false" ht="15.75" hidden="false" customHeight="true" outlineLevel="0" collapsed="false">
      <c r="B645" s="67"/>
      <c r="C645" s="67"/>
      <c r="D645" s="67"/>
    </row>
    <row r="646" customFormat="false" ht="15.75" hidden="false" customHeight="true" outlineLevel="0" collapsed="false">
      <c r="B646" s="67"/>
      <c r="C646" s="67"/>
      <c r="D646" s="67"/>
    </row>
    <row r="647" customFormat="false" ht="15.75" hidden="false" customHeight="true" outlineLevel="0" collapsed="false">
      <c r="B647" s="67"/>
      <c r="C647" s="67"/>
      <c r="D647" s="67"/>
    </row>
    <row r="648" customFormat="false" ht="15.75" hidden="false" customHeight="true" outlineLevel="0" collapsed="false">
      <c r="B648" s="67"/>
      <c r="C648" s="67"/>
      <c r="D648" s="67"/>
    </row>
    <row r="649" customFormat="false" ht="15.75" hidden="false" customHeight="true" outlineLevel="0" collapsed="false">
      <c r="B649" s="67"/>
      <c r="C649" s="67"/>
      <c r="D649" s="67"/>
    </row>
    <row r="650" customFormat="false" ht="15.75" hidden="false" customHeight="true" outlineLevel="0" collapsed="false">
      <c r="B650" s="67"/>
      <c r="C650" s="67"/>
      <c r="D650" s="67"/>
    </row>
    <row r="651" customFormat="false" ht="15.75" hidden="false" customHeight="true" outlineLevel="0" collapsed="false">
      <c r="B651" s="67"/>
      <c r="C651" s="67"/>
      <c r="D651" s="67"/>
    </row>
    <row r="652" customFormat="false" ht="15.75" hidden="false" customHeight="true" outlineLevel="0" collapsed="false">
      <c r="B652" s="67"/>
      <c r="C652" s="67"/>
      <c r="D652" s="67"/>
    </row>
    <row r="653" customFormat="false" ht="15.75" hidden="false" customHeight="true" outlineLevel="0" collapsed="false">
      <c r="B653" s="67"/>
      <c r="C653" s="67"/>
      <c r="D653" s="67"/>
    </row>
    <row r="654" customFormat="false" ht="15.75" hidden="false" customHeight="true" outlineLevel="0" collapsed="false">
      <c r="B654" s="67"/>
      <c r="C654" s="67"/>
      <c r="D654" s="67"/>
    </row>
    <row r="655" customFormat="false" ht="15.75" hidden="false" customHeight="true" outlineLevel="0" collapsed="false">
      <c r="B655" s="67"/>
      <c r="C655" s="67"/>
      <c r="D655" s="67"/>
    </row>
    <row r="656" customFormat="false" ht="15.75" hidden="false" customHeight="true" outlineLevel="0" collapsed="false">
      <c r="B656" s="67"/>
      <c r="C656" s="67"/>
      <c r="D656" s="67"/>
    </row>
    <row r="657" customFormat="false" ht="15.75" hidden="false" customHeight="true" outlineLevel="0" collapsed="false">
      <c r="B657" s="67"/>
      <c r="C657" s="67"/>
      <c r="D657" s="67"/>
    </row>
    <row r="658" customFormat="false" ht="15.75" hidden="false" customHeight="true" outlineLevel="0" collapsed="false">
      <c r="B658" s="67"/>
      <c r="C658" s="67"/>
      <c r="D658" s="67"/>
    </row>
    <row r="659" customFormat="false" ht="15.75" hidden="false" customHeight="true" outlineLevel="0" collapsed="false">
      <c r="B659" s="67"/>
      <c r="C659" s="67"/>
      <c r="D659" s="67"/>
    </row>
    <row r="660" customFormat="false" ht="15.75" hidden="false" customHeight="true" outlineLevel="0" collapsed="false">
      <c r="B660" s="67"/>
      <c r="C660" s="67"/>
      <c r="D660" s="67"/>
    </row>
    <row r="661" customFormat="false" ht="15.75" hidden="false" customHeight="true" outlineLevel="0" collapsed="false">
      <c r="B661" s="67"/>
      <c r="C661" s="67"/>
      <c r="D661" s="67"/>
    </row>
    <row r="662" customFormat="false" ht="15.75" hidden="false" customHeight="true" outlineLevel="0" collapsed="false">
      <c r="B662" s="67"/>
      <c r="C662" s="67"/>
      <c r="D662" s="67"/>
    </row>
    <row r="663" customFormat="false" ht="15.75" hidden="false" customHeight="true" outlineLevel="0" collapsed="false">
      <c r="B663" s="67"/>
      <c r="C663" s="67"/>
      <c r="D663" s="67"/>
    </row>
    <row r="664" customFormat="false" ht="15.75" hidden="false" customHeight="true" outlineLevel="0" collapsed="false">
      <c r="B664" s="67"/>
      <c r="C664" s="67"/>
      <c r="D664" s="67"/>
    </row>
    <row r="665" customFormat="false" ht="15.75" hidden="false" customHeight="true" outlineLevel="0" collapsed="false">
      <c r="B665" s="67"/>
      <c r="C665" s="67"/>
      <c r="D665" s="67"/>
    </row>
    <row r="666" customFormat="false" ht="15.75" hidden="false" customHeight="true" outlineLevel="0" collapsed="false">
      <c r="B666" s="67"/>
      <c r="C666" s="67"/>
      <c r="D666" s="67"/>
    </row>
    <row r="667" customFormat="false" ht="15.75" hidden="false" customHeight="true" outlineLevel="0" collapsed="false">
      <c r="B667" s="67"/>
      <c r="C667" s="67"/>
      <c r="D667" s="67"/>
    </row>
    <row r="668" customFormat="false" ht="15.75" hidden="false" customHeight="true" outlineLevel="0" collapsed="false">
      <c r="B668" s="67"/>
      <c r="C668" s="67"/>
      <c r="D668" s="67"/>
    </row>
    <row r="669" customFormat="false" ht="15.75" hidden="false" customHeight="true" outlineLevel="0" collapsed="false">
      <c r="B669" s="67"/>
      <c r="C669" s="67"/>
      <c r="D669" s="67"/>
    </row>
    <row r="670" customFormat="false" ht="15.75" hidden="false" customHeight="true" outlineLevel="0" collapsed="false">
      <c r="B670" s="67"/>
      <c r="C670" s="67"/>
      <c r="D670" s="67"/>
    </row>
    <row r="671" customFormat="false" ht="15.75" hidden="false" customHeight="true" outlineLevel="0" collapsed="false">
      <c r="B671" s="67"/>
      <c r="C671" s="67"/>
      <c r="D671" s="67"/>
    </row>
    <row r="672" customFormat="false" ht="15.75" hidden="false" customHeight="true" outlineLevel="0" collapsed="false">
      <c r="B672" s="67"/>
      <c r="C672" s="67"/>
      <c r="D672" s="67"/>
    </row>
    <row r="673" customFormat="false" ht="15.75" hidden="false" customHeight="true" outlineLevel="0" collapsed="false">
      <c r="B673" s="67"/>
      <c r="C673" s="67"/>
      <c r="D673" s="67"/>
    </row>
    <row r="674" customFormat="false" ht="15.75" hidden="false" customHeight="true" outlineLevel="0" collapsed="false">
      <c r="B674" s="67"/>
      <c r="C674" s="67"/>
      <c r="D674" s="67"/>
    </row>
    <row r="675" customFormat="false" ht="15.75" hidden="false" customHeight="true" outlineLevel="0" collapsed="false">
      <c r="B675" s="67"/>
      <c r="C675" s="67"/>
      <c r="D675" s="67"/>
    </row>
    <row r="676" customFormat="false" ht="15.75" hidden="false" customHeight="true" outlineLevel="0" collapsed="false">
      <c r="B676" s="67"/>
      <c r="C676" s="67"/>
      <c r="D676" s="67"/>
    </row>
    <row r="677" customFormat="false" ht="15.75" hidden="false" customHeight="true" outlineLevel="0" collapsed="false">
      <c r="B677" s="67"/>
      <c r="C677" s="67"/>
      <c r="D677" s="67"/>
    </row>
    <row r="678" customFormat="false" ht="15.75" hidden="false" customHeight="true" outlineLevel="0" collapsed="false">
      <c r="B678" s="67"/>
      <c r="C678" s="67"/>
      <c r="D678" s="67"/>
    </row>
    <row r="679" customFormat="false" ht="15.75" hidden="false" customHeight="true" outlineLevel="0" collapsed="false">
      <c r="B679" s="67"/>
      <c r="C679" s="67"/>
      <c r="D679" s="67"/>
    </row>
    <row r="680" customFormat="false" ht="15.75" hidden="false" customHeight="true" outlineLevel="0" collapsed="false">
      <c r="B680" s="67"/>
      <c r="C680" s="67"/>
      <c r="D680" s="67"/>
    </row>
    <row r="681" customFormat="false" ht="15.75" hidden="false" customHeight="true" outlineLevel="0" collapsed="false">
      <c r="B681" s="67"/>
      <c r="C681" s="67"/>
      <c r="D681" s="67"/>
    </row>
    <row r="682" customFormat="false" ht="15.75" hidden="false" customHeight="true" outlineLevel="0" collapsed="false">
      <c r="B682" s="67"/>
      <c r="C682" s="67"/>
      <c r="D682" s="67"/>
    </row>
    <row r="683" customFormat="false" ht="15.75" hidden="false" customHeight="true" outlineLevel="0" collapsed="false">
      <c r="B683" s="67"/>
      <c r="C683" s="67"/>
      <c r="D683" s="67"/>
    </row>
    <row r="684" customFormat="false" ht="15.75" hidden="false" customHeight="true" outlineLevel="0" collapsed="false">
      <c r="B684" s="67"/>
      <c r="C684" s="67"/>
      <c r="D684" s="67"/>
    </row>
    <row r="685" customFormat="false" ht="15.75" hidden="false" customHeight="true" outlineLevel="0" collapsed="false">
      <c r="B685" s="67"/>
      <c r="C685" s="67"/>
      <c r="D685" s="67"/>
    </row>
    <row r="686" customFormat="false" ht="15.75" hidden="false" customHeight="true" outlineLevel="0" collapsed="false">
      <c r="B686" s="67"/>
      <c r="C686" s="67"/>
      <c r="D686" s="67"/>
    </row>
    <row r="687" customFormat="false" ht="15.75" hidden="false" customHeight="true" outlineLevel="0" collapsed="false">
      <c r="B687" s="67"/>
      <c r="C687" s="67"/>
      <c r="D687" s="67"/>
    </row>
    <row r="688" customFormat="false" ht="15.75" hidden="false" customHeight="true" outlineLevel="0" collapsed="false">
      <c r="B688" s="67"/>
      <c r="C688" s="67"/>
      <c r="D688" s="67"/>
    </row>
    <row r="689" customFormat="false" ht="15.75" hidden="false" customHeight="true" outlineLevel="0" collapsed="false">
      <c r="B689" s="67"/>
      <c r="C689" s="67"/>
      <c r="D689" s="67"/>
    </row>
    <row r="690" customFormat="false" ht="15.75" hidden="false" customHeight="true" outlineLevel="0" collapsed="false">
      <c r="B690" s="67"/>
      <c r="C690" s="67"/>
      <c r="D690" s="67"/>
    </row>
    <row r="691" customFormat="false" ht="15.75" hidden="false" customHeight="true" outlineLevel="0" collapsed="false">
      <c r="B691" s="67"/>
      <c r="C691" s="67"/>
      <c r="D691" s="67"/>
    </row>
    <row r="692" customFormat="false" ht="15.75" hidden="false" customHeight="true" outlineLevel="0" collapsed="false">
      <c r="B692" s="67"/>
      <c r="C692" s="67"/>
      <c r="D692" s="67"/>
    </row>
    <row r="693" customFormat="false" ht="15.75" hidden="false" customHeight="true" outlineLevel="0" collapsed="false">
      <c r="B693" s="67"/>
      <c r="C693" s="67"/>
      <c r="D693" s="67"/>
    </row>
    <row r="694" customFormat="false" ht="15.75" hidden="false" customHeight="true" outlineLevel="0" collapsed="false">
      <c r="B694" s="67"/>
      <c r="C694" s="67"/>
      <c r="D694" s="67"/>
    </row>
    <row r="695" customFormat="false" ht="15.75" hidden="false" customHeight="true" outlineLevel="0" collapsed="false">
      <c r="B695" s="67"/>
      <c r="C695" s="67"/>
      <c r="D695" s="67"/>
    </row>
    <row r="696" customFormat="false" ht="15.75" hidden="false" customHeight="true" outlineLevel="0" collapsed="false">
      <c r="B696" s="67"/>
      <c r="C696" s="67"/>
      <c r="D696" s="67"/>
    </row>
    <row r="697" customFormat="false" ht="15.75" hidden="false" customHeight="true" outlineLevel="0" collapsed="false">
      <c r="B697" s="67"/>
      <c r="C697" s="67"/>
      <c r="D697" s="67"/>
    </row>
    <row r="698" customFormat="false" ht="15.75" hidden="false" customHeight="true" outlineLevel="0" collapsed="false">
      <c r="B698" s="67"/>
      <c r="C698" s="67"/>
      <c r="D698" s="67"/>
    </row>
    <row r="699" customFormat="false" ht="15.75" hidden="false" customHeight="true" outlineLevel="0" collapsed="false">
      <c r="B699" s="67"/>
      <c r="C699" s="67"/>
      <c r="D699" s="67"/>
    </row>
    <row r="700" customFormat="false" ht="15.75" hidden="false" customHeight="true" outlineLevel="0" collapsed="false">
      <c r="B700" s="67"/>
      <c r="C700" s="67"/>
      <c r="D700" s="67"/>
    </row>
    <row r="701" customFormat="false" ht="15.75" hidden="false" customHeight="true" outlineLevel="0" collapsed="false">
      <c r="B701" s="67"/>
      <c r="C701" s="67"/>
      <c r="D701" s="67"/>
    </row>
    <row r="702" customFormat="false" ht="15.75" hidden="false" customHeight="true" outlineLevel="0" collapsed="false">
      <c r="B702" s="67"/>
      <c r="C702" s="67"/>
      <c r="D702" s="67"/>
    </row>
    <row r="703" customFormat="false" ht="15.75" hidden="false" customHeight="true" outlineLevel="0" collapsed="false">
      <c r="B703" s="67"/>
      <c r="C703" s="67"/>
      <c r="D703" s="67"/>
    </row>
    <row r="704" customFormat="false" ht="15.75" hidden="false" customHeight="true" outlineLevel="0" collapsed="false">
      <c r="B704" s="67"/>
      <c r="C704" s="67"/>
      <c r="D704" s="67"/>
    </row>
    <row r="705" customFormat="false" ht="15.75" hidden="false" customHeight="true" outlineLevel="0" collapsed="false">
      <c r="B705" s="67"/>
      <c r="C705" s="67"/>
      <c r="D705" s="67"/>
    </row>
    <row r="706" customFormat="false" ht="15.75" hidden="false" customHeight="true" outlineLevel="0" collapsed="false">
      <c r="B706" s="67"/>
      <c r="C706" s="67"/>
      <c r="D706" s="67"/>
    </row>
    <row r="707" customFormat="false" ht="15.75" hidden="false" customHeight="true" outlineLevel="0" collapsed="false">
      <c r="B707" s="67"/>
      <c r="C707" s="67"/>
      <c r="D707" s="67"/>
    </row>
    <row r="708" customFormat="false" ht="15.75" hidden="false" customHeight="true" outlineLevel="0" collapsed="false">
      <c r="B708" s="67"/>
      <c r="C708" s="67"/>
      <c r="D708" s="67"/>
    </row>
    <row r="709" customFormat="false" ht="15.75" hidden="false" customHeight="true" outlineLevel="0" collapsed="false">
      <c r="B709" s="67"/>
      <c r="C709" s="67"/>
      <c r="D709" s="67"/>
    </row>
    <row r="710" customFormat="false" ht="15.75" hidden="false" customHeight="true" outlineLevel="0" collapsed="false">
      <c r="B710" s="67"/>
      <c r="C710" s="67"/>
      <c r="D710" s="67"/>
    </row>
    <row r="711" customFormat="false" ht="15.75" hidden="false" customHeight="true" outlineLevel="0" collapsed="false">
      <c r="B711" s="67"/>
      <c r="C711" s="67"/>
      <c r="D711" s="67"/>
    </row>
    <row r="712" customFormat="false" ht="15.75" hidden="false" customHeight="true" outlineLevel="0" collapsed="false">
      <c r="B712" s="67"/>
      <c r="C712" s="67"/>
      <c r="D712" s="67"/>
    </row>
    <row r="713" customFormat="false" ht="15.75" hidden="false" customHeight="true" outlineLevel="0" collapsed="false">
      <c r="B713" s="67"/>
      <c r="C713" s="67"/>
      <c r="D713" s="67"/>
    </row>
    <row r="714" customFormat="false" ht="15.75" hidden="false" customHeight="true" outlineLevel="0" collapsed="false">
      <c r="B714" s="67"/>
      <c r="C714" s="67"/>
      <c r="D714" s="67"/>
    </row>
    <row r="715" customFormat="false" ht="15.75" hidden="false" customHeight="true" outlineLevel="0" collapsed="false">
      <c r="B715" s="67"/>
      <c r="C715" s="67"/>
      <c r="D715" s="67"/>
    </row>
    <row r="716" customFormat="false" ht="15.75" hidden="false" customHeight="true" outlineLevel="0" collapsed="false">
      <c r="B716" s="67"/>
      <c r="C716" s="67"/>
      <c r="D716" s="67"/>
    </row>
    <row r="717" customFormat="false" ht="15.75" hidden="false" customHeight="true" outlineLevel="0" collapsed="false">
      <c r="B717" s="67"/>
      <c r="C717" s="67"/>
      <c r="D717" s="67"/>
    </row>
    <row r="718" customFormat="false" ht="15.75" hidden="false" customHeight="true" outlineLevel="0" collapsed="false">
      <c r="B718" s="67"/>
      <c r="C718" s="67"/>
      <c r="D718" s="67"/>
    </row>
    <row r="719" customFormat="false" ht="15.75" hidden="false" customHeight="true" outlineLevel="0" collapsed="false">
      <c r="B719" s="67"/>
      <c r="C719" s="67"/>
      <c r="D719" s="67"/>
    </row>
    <row r="720" customFormat="false" ht="15.75" hidden="false" customHeight="true" outlineLevel="0" collapsed="false">
      <c r="B720" s="67"/>
      <c r="C720" s="67"/>
      <c r="D720" s="67"/>
    </row>
    <row r="721" customFormat="false" ht="15.75" hidden="false" customHeight="true" outlineLevel="0" collapsed="false">
      <c r="B721" s="67"/>
      <c r="C721" s="67"/>
      <c r="D721" s="67"/>
    </row>
    <row r="722" customFormat="false" ht="15.75" hidden="false" customHeight="true" outlineLevel="0" collapsed="false">
      <c r="B722" s="67"/>
      <c r="C722" s="67"/>
      <c r="D722" s="67"/>
    </row>
    <row r="723" customFormat="false" ht="15.75" hidden="false" customHeight="true" outlineLevel="0" collapsed="false">
      <c r="B723" s="67"/>
      <c r="C723" s="67"/>
      <c r="D723" s="67"/>
    </row>
    <row r="724" customFormat="false" ht="15.75" hidden="false" customHeight="true" outlineLevel="0" collapsed="false">
      <c r="B724" s="67"/>
      <c r="C724" s="67"/>
      <c r="D724" s="67"/>
    </row>
    <row r="725" customFormat="false" ht="15.75" hidden="false" customHeight="true" outlineLevel="0" collapsed="false">
      <c r="B725" s="67"/>
      <c r="C725" s="67"/>
      <c r="D725" s="67"/>
    </row>
    <row r="726" customFormat="false" ht="15.75" hidden="false" customHeight="true" outlineLevel="0" collapsed="false">
      <c r="B726" s="67"/>
      <c r="C726" s="67"/>
      <c r="D726" s="67"/>
    </row>
    <row r="727" customFormat="false" ht="15.75" hidden="false" customHeight="true" outlineLevel="0" collapsed="false">
      <c r="B727" s="67"/>
      <c r="C727" s="67"/>
      <c r="D727" s="67"/>
    </row>
    <row r="728" customFormat="false" ht="15.75" hidden="false" customHeight="true" outlineLevel="0" collapsed="false">
      <c r="B728" s="67"/>
      <c r="C728" s="67"/>
      <c r="D728" s="67"/>
    </row>
    <row r="729" customFormat="false" ht="15.75" hidden="false" customHeight="true" outlineLevel="0" collapsed="false">
      <c r="B729" s="67"/>
      <c r="C729" s="67"/>
      <c r="D729" s="67"/>
    </row>
    <row r="730" customFormat="false" ht="15.75" hidden="false" customHeight="true" outlineLevel="0" collapsed="false">
      <c r="B730" s="67"/>
      <c r="C730" s="67"/>
      <c r="D730" s="67"/>
    </row>
    <row r="731" customFormat="false" ht="15.75" hidden="false" customHeight="true" outlineLevel="0" collapsed="false">
      <c r="B731" s="67"/>
      <c r="C731" s="67"/>
      <c r="D731" s="67"/>
    </row>
    <row r="732" customFormat="false" ht="15.75" hidden="false" customHeight="true" outlineLevel="0" collapsed="false">
      <c r="B732" s="67"/>
      <c r="C732" s="67"/>
      <c r="D732" s="67"/>
    </row>
    <row r="733" customFormat="false" ht="15.75" hidden="false" customHeight="true" outlineLevel="0" collapsed="false">
      <c r="B733" s="67"/>
      <c r="C733" s="67"/>
      <c r="D733" s="67"/>
    </row>
    <row r="734" customFormat="false" ht="15.75" hidden="false" customHeight="true" outlineLevel="0" collapsed="false">
      <c r="B734" s="67"/>
      <c r="C734" s="67"/>
      <c r="D734" s="67"/>
    </row>
    <row r="735" customFormat="false" ht="15.75" hidden="false" customHeight="true" outlineLevel="0" collapsed="false">
      <c r="B735" s="67"/>
      <c r="C735" s="67"/>
      <c r="D735" s="67"/>
    </row>
    <row r="736" customFormat="false" ht="15.75" hidden="false" customHeight="true" outlineLevel="0" collapsed="false">
      <c r="B736" s="67"/>
      <c r="C736" s="67"/>
      <c r="D736" s="67"/>
    </row>
    <row r="737" customFormat="false" ht="15.75" hidden="false" customHeight="true" outlineLevel="0" collapsed="false">
      <c r="B737" s="67"/>
      <c r="C737" s="67"/>
      <c r="D737" s="67"/>
    </row>
    <row r="738" customFormat="false" ht="15.75" hidden="false" customHeight="true" outlineLevel="0" collapsed="false">
      <c r="B738" s="67"/>
      <c r="C738" s="67"/>
      <c r="D738" s="67"/>
    </row>
    <row r="739" customFormat="false" ht="15.75" hidden="false" customHeight="true" outlineLevel="0" collapsed="false">
      <c r="B739" s="67"/>
      <c r="C739" s="67"/>
      <c r="D739" s="67"/>
    </row>
    <row r="740" customFormat="false" ht="15.75" hidden="false" customHeight="true" outlineLevel="0" collapsed="false">
      <c r="B740" s="67"/>
      <c r="C740" s="67"/>
      <c r="D740" s="67"/>
    </row>
    <row r="741" customFormat="false" ht="15.75" hidden="false" customHeight="true" outlineLevel="0" collapsed="false">
      <c r="B741" s="67"/>
      <c r="C741" s="67"/>
      <c r="D741" s="67"/>
    </row>
    <row r="742" customFormat="false" ht="15.75" hidden="false" customHeight="true" outlineLevel="0" collapsed="false">
      <c r="B742" s="67"/>
      <c r="C742" s="67"/>
      <c r="D742" s="67"/>
    </row>
    <row r="743" customFormat="false" ht="15.75" hidden="false" customHeight="true" outlineLevel="0" collapsed="false">
      <c r="B743" s="67"/>
      <c r="C743" s="67"/>
      <c r="D743" s="67"/>
    </row>
    <row r="744" customFormat="false" ht="15.75" hidden="false" customHeight="true" outlineLevel="0" collapsed="false">
      <c r="B744" s="67"/>
      <c r="C744" s="67"/>
      <c r="D744" s="67"/>
    </row>
    <row r="745" customFormat="false" ht="15.75" hidden="false" customHeight="true" outlineLevel="0" collapsed="false">
      <c r="B745" s="67"/>
      <c r="C745" s="67"/>
      <c r="D745" s="67"/>
    </row>
    <row r="746" customFormat="false" ht="15.75" hidden="false" customHeight="true" outlineLevel="0" collapsed="false">
      <c r="B746" s="67"/>
      <c r="C746" s="67"/>
      <c r="D746" s="67"/>
    </row>
    <row r="747" customFormat="false" ht="15.75" hidden="false" customHeight="true" outlineLevel="0" collapsed="false">
      <c r="B747" s="67"/>
      <c r="C747" s="67"/>
      <c r="D747" s="67"/>
    </row>
    <row r="748" customFormat="false" ht="15.75" hidden="false" customHeight="true" outlineLevel="0" collapsed="false">
      <c r="B748" s="67"/>
      <c r="C748" s="67"/>
      <c r="D748" s="67"/>
    </row>
    <row r="749" customFormat="false" ht="15.75" hidden="false" customHeight="true" outlineLevel="0" collapsed="false">
      <c r="B749" s="67"/>
      <c r="C749" s="67"/>
      <c r="D749" s="67"/>
    </row>
    <row r="750" customFormat="false" ht="15.75" hidden="false" customHeight="true" outlineLevel="0" collapsed="false">
      <c r="B750" s="67"/>
      <c r="C750" s="67"/>
      <c r="D750" s="67"/>
    </row>
    <row r="751" customFormat="false" ht="15.75" hidden="false" customHeight="true" outlineLevel="0" collapsed="false">
      <c r="B751" s="67"/>
      <c r="C751" s="67"/>
      <c r="D751" s="67"/>
    </row>
    <row r="752" customFormat="false" ht="15.75" hidden="false" customHeight="true" outlineLevel="0" collapsed="false">
      <c r="B752" s="67"/>
      <c r="C752" s="67"/>
      <c r="D752" s="67"/>
    </row>
    <row r="753" customFormat="false" ht="15.75" hidden="false" customHeight="true" outlineLevel="0" collapsed="false">
      <c r="B753" s="67"/>
      <c r="C753" s="67"/>
      <c r="D753" s="67"/>
    </row>
    <row r="754" customFormat="false" ht="15.75" hidden="false" customHeight="true" outlineLevel="0" collapsed="false">
      <c r="B754" s="67"/>
      <c r="C754" s="67"/>
      <c r="D754" s="67"/>
    </row>
    <row r="755" customFormat="false" ht="15.75" hidden="false" customHeight="true" outlineLevel="0" collapsed="false">
      <c r="B755" s="67"/>
      <c r="C755" s="67"/>
      <c r="D755" s="67"/>
    </row>
    <row r="756" customFormat="false" ht="15.75" hidden="false" customHeight="true" outlineLevel="0" collapsed="false">
      <c r="B756" s="67"/>
      <c r="C756" s="67"/>
      <c r="D756" s="67"/>
    </row>
    <row r="757" customFormat="false" ht="15.75" hidden="false" customHeight="true" outlineLevel="0" collapsed="false">
      <c r="B757" s="67"/>
      <c r="C757" s="67"/>
      <c r="D757" s="67"/>
    </row>
    <row r="758" customFormat="false" ht="15.75" hidden="false" customHeight="true" outlineLevel="0" collapsed="false">
      <c r="B758" s="67"/>
      <c r="C758" s="67"/>
      <c r="D758" s="67"/>
    </row>
    <row r="759" customFormat="false" ht="15.75" hidden="false" customHeight="true" outlineLevel="0" collapsed="false">
      <c r="B759" s="67"/>
      <c r="C759" s="67"/>
      <c r="D759" s="67"/>
    </row>
    <row r="760" customFormat="false" ht="15.75" hidden="false" customHeight="true" outlineLevel="0" collapsed="false">
      <c r="B760" s="67"/>
      <c r="C760" s="67"/>
      <c r="D760" s="67"/>
    </row>
    <row r="761" customFormat="false" ht="15.75" hidden="false" customHeight="true" outlineLevel="0" collapsed="false">
      <c r="B761" s="67"/>
      <c r="C761" s="67"/>
      <c r="D761" s="67"/>
    </row>
    <row r="762" customFormat="false" ht="15.75" hidden="false" customHeight="true" outlineLevel="0" collapsed="false">
      <c r="B762" s="67"/>
      <c r="C762" s="67"/>
      <c r="D762" s="67"/>
    </row>
    <row r="763" customFormat="false" ht="15.75" hidden="false" customHeight="true" outlineLevel="0" collapsed="false">
      <c r="B763" s="67"/>
      <c r="C763" s="67"/>
      <c r="D763" s="67"/>
    </row>
    <row r="764" customFormat="false" ht="15.75" hidden="false" customHeight="true" outlineLevel="0" collapsed="false">
      <c r="B764" s="67"/>
      <c r="C764" s="67"/>
      <c r="D764" s="67"/>
    </row>
    <row r="765" customFormat="false" ht="15.75" hidden="false" customHeight="true" outlineLevel="0" collapsed="false">
      <c r="B765" s="67"/>
      <c r="C765" s="67"/>
      <c r="D765" s="67"/>
    </row>
    <row r="766" customFormat="false" ht="15.75" hidden="false" customHeight="true" outlineLevel="0" collapsed="false">
      <c r="B766" s="67"/>
      <c r="C766" s="67"/>
      <c r="D766" s="67"/>
    </row>
    <row r="767" customFormat="false" ht="15.75" hidden="false" customHeight="true" outlineLevel="0" collapsed="false">
      <c r="B767" s="67"/>
      <c r="C767" s="67"/>
      <c r="D767" s="67"/>
    </row>
    <row r="768" customFormat="false" ht="15.75" hidden="false" customHeight="true" outlineLevel="0" collapsed="false">
      <c r="B768" s="67"/>
      <c r="C768" s="67"/>
      <c r="D768" s="67"/>
    </row>
    <row r="769" customFormat="false" ht="15.75" hidden="false" customHeight="true" outlineLevel="0" collapsed="false">
      <c r="B769" s="67"/>
      <c r="C769" s="67"/>
      <c r="D769" s="67"/>
    </row>
    <row r="770" customFormat="false" ht="15.75" hidden="false" customHeight="true" outlineLevel="0" collapsed="false">
      <c r="B770" s="67"/>
      <c r="C770" s="67"/>
      <c r="D770" s="67"/>
    </row>
    <row r="771" customFormat="false" ht="15.75" hidden="false" customHeight="true" outlineLevel="0" collapsed="false">
      <c r="B771" s="67"/>
      <c r="C771" s="67"/>
      <c r="D771" s="67"/>
    </row>
    <row r="772" customFormat="false" ht="15.75" hidden="false" customHeight="true" outlineLevel="0" collapsed="false">
      <c r="B772" s="67"/>
      <c r="C772" s="67"/>
      <c r="D772" s="67"/>
    </row>
    <row r="773" customFormat="false" ht="15.75" hidden="false" customHeight="true" outlineLevel="0" collapsed="false">
      <c r="B773" s="67"/>
      <c r="C773" s="67"/>
      <c r="D773" s="67"/>
    </row>
    <row r="774" customFormat="false" ht="15.75" hidden="false" customHeight="true" outlineLevel="0" collapsed="false">
      <c r="B774" s="67"/>
      <c r="C774" s="67"/>
      <c r="D774" s="67"/>
    </row>
    <row r="775" customFormat="false" ht="15.75" hidden="false" customHeight="true" outlineLevel="0" collapsed="false">
      <c r="B775" s="67"/>
      <c r="C775" s="67"/>
      <c r="D775" s="67"/>
    </row>
    <row r="776" customFormat="false" ht="15.75" hidden="false" customHeight="true" outlineLevel="0" collapsed="false">
      <c r="B776" s="67"/>
      <c r="C776" s="67"/>
      <c r="D776" s="67"/>
    </row>
    <row r="777" customFormat="false" ht="15.75" hidden="false" customHeight="true" outlineLevel="0" collapsed="false">
      <c r="B777" s="67"/>
      <c r="C777" s="67"/>
      <c r="D777" s="67"/>
    </row>
    <row r="778" customFormat="false" ht="15.75" hidden="false" customHeight="true" outlineLevel="0" collapsed="false">
      <c r="B778" s="67"/>
      <c r="C778" s="67"/>
      <c r="D778" s="67"/>
    </row>
    <row r="779" customFormat="false" ht="15.75" hidden="false" customHeight="true" outlineLevel="0" collapsed="false">
      <c r="B779" s="67"/>
      <c r="C779" s="67"/>
      <c r="D779" s="67"/>
    </row>
    <row r="780" customFormat="false" ht="15.75" hidden="false" customHeight="true" outlineLevel="0" collapsed="false">
      <c r="B780" s="67"/>
      <c r="C780" s="67"/>
      <c r="D780" s="67"/>
    </row>
    <row r="781" customFormat="false" ht="15.75" hidden="false" customHeight="true" outlineLevel="0" collapsed="false">
      <c r="B781" s="67"/>
      <c r="C781" s="67"/>
      <c r="D781" s="67"/>
    </row>
    <row r="782" customFormat="false" ht="15.75" hidden="false" customHeight="true" outlineLevel="0" collapsed="false">
      <c r="B782" s="67"/>
      <c r="C782" s="67"/>
      <c r="D782" s="67"/>
    </row>
    <row r="783" customFormat="false" ht="15.75" hidden="false" customHeight="true" outlineLevel="0" collapsed="false">
      <c r="B783" s="67"/>
      <c r="C783" s="67"/>
      <c r="D783" s="67"/>
    </row>
    <row r="784" customFormat="false" ht="15.75" hidden="false" customHeight="true" outlineLevel="0" collapsed="false">
      <c r="B784" s="67"/>
      <c r="C784" s="67"/>
      <c r="D784" s="67"/>
    </row>
    <row r="785" customFormat="false" ht="15.75" hidden="false" customHeight="true" outlineLevel="0" collapsed="false">
      <c r="B785" s="67"/>
      <c r="C785" s="67"/>
      <c r="D785" s="67"/>
    </row>
    <row r="786" customFormat="false" ht="15.75" hidden="false" customHeight="true" outlineLevel="0" collapsed="false">
      <c r="B786" s="67"/>
      <c r="C786" s="67"/>
      <c r="D786" s="67"/>
    </row>
    <row r="787" customFormat="false" ht="15.75" hidden="false" customHeight="true" outlineLevel="0" collapsed="false">
      <c r="B787" s="67"/>
      <c r="C787" s="67"/>
      <c r="D787" s="67"/>
    </row>
    <row r="788" customFormat="false" ht="15.75" hidden="false" customHeight="true" outlineLevel="0" collapsed="false">
      <c r="B788" s="67"/>
      <c r="C788" s="67"/>
      <c r="D788" s="67"/>
    </row>
    <row r="789" customFormat="false" ht="15.75" hidden="false" customHeight="true" outlineLevel="0" collapsed="false">
      <c r="B789" s="67"/>
      <c r="C789" s="67"/>
      <c r="D789" s="67"/>
    </row>
    <row r="790" customFormat="false" ht="15.75" hidden="false" customHeight="true" outlineLevel="0" collapsed="false">
      <c r="B790" s="67"/>
      <c r="C790" s="67"/>
      <c r="D790" s="67"/>
    </row>
    <row r="791" customFormat="false" ht="15.75" hidden="false" customHeight="true" outlineLevel="0" collapsed="false">
      <c r="B791" s="67"/>
      <c r="C791" s="67"/>
      <c r="D791" s="67"/>
    </row>
    <row r="792" customFormat="false" ht="15.75" hidden="false" customHeight="true" outlineLevel="0" collapsed="false">
      <c r="B792" s="67"/>
      <c r="C792" s="67"/>
      <c r="D792" s="67"/>
    </row>
    <row r="793" customFormat="false" ht="15.75" hidden="false" customHeight="true" outlineLevel="0" collapsed="false">
      <c r="B793" s="67"/>
      <c r="C793" s="67"/>
      <c r="D793" s="67"/>
    </row>
    <row r="794" customFormat="false" ht="15.75" hidden="false" customHeight="true" outlineLevel="0" collapsed="false">
      <c r="B794" s="67"/>
      <c r="C794" s="67"/>
      <c r="D794" s="67"/>
    </row>
    <row r="795" customFormat="false" ht="15.75" hidden="false" customHeight="true" outlineLevel="0" collapsed="false">
      <c r="B795" s="67"/>
      <c r="C795" s="67"/>
      <c r="D795" s="67"/>
    </row>
    <row r="796" customFormat="false" ht="15.75" hidden="false" customHeight="true" outlineLevel="0" collapsed="false">
      <c r="B796" s="67"/>
      <c r="C796" s="67"/>
      <c r="D796" s="67"/>
    </row>
    <row r="797" customFormat="false" ht="15.75" hidden="false" customHeight="true" outlineLevel="0" collapsed="false">
      <c r="B797" s="67"/>
      <c r="C797" s="67"/>
      <c r="D797" s="67"/>
    </row>
    <row r="798" customFormat="false" ht="15.75" hidden="false" customHeight="true" outlineLevel="0" collapsed="false">
      <c r="B798" s="67"/>
      <c r="C798" s="67"/>
      <c r="D798" s="67"/>
    </row>
    <row r="799" customFormat="false" ht="15.75" hidden="false" customHeight="true" outlineLevel="0" collapsed="false">
      <c r="B799" s="67"/>
      <c r="C799" s="67"/>
      <c r="D799" s="67"/>
    </row>
    <row r="800" customFormat="false" ht="15.75" hidden="false" customHeight="true" outlineLevel="0" collapsed="false">
      <c r="B800" s="67"/>
      <c r="C800" s="67"/>
      <c r="D800" s="67"/>
    </row>
    <row r="801" customFormat="false" ht="15.75" hidden="false" customHeight="true" outlineLevel="0" collapsed="false">
      <c r="B801" s="67"/>
      <c r="C801" s="67"/>
      <c r="D801" s="67"/>
    </row>
    <row r="802" customFormat="false" ht="15.75" hidden="false" customHeight="true" outlineLevel="0" collapsed="false">
      <c r="B802" s="67"/>
      <c r="C802" s="67"/>
      <c r="D802" s="67"/>
    </row>
    <row r="803" customFormat="false" ht="15.75" hidden="false" customHeight="true" outlineLevel="0" collapsed="false">
      <c r="B803" s="67"/>
      <c r="C803" s="67"/>
      <c r="D803" s="67"/>
    </row>
    <row r="804" customFormat="false" ht="15.75" hidden="false" customHeight="true" outlineLevel="0" collapsed="false">
      <c r="B804" s="67"/>
      <c r="C804" s="67"/>
      <c r="D804" s="67"/>
    </row>
    <row r="805" customFormat="false" ht="15.75" hidden="false" customHeight="true" outlineLevel="0" collapsed="false">
      <c r="B805" s="67"/>
      <c r="C805" s="67"/>
      <c r="D805" s="67"/>
    </row>
    <row r="806" customFormat="false" ht="15.75" hidden="false" customHeight="true" outlineLevel="0" collapsed="false">
      <c r="B806" s="67"/>
      <c r="C806" s="67"/>
      <c r="D806" s="67"/>
    </row>
    <row r="807" customFormat="false" ht="15.75" hidden="false" customHeight="true" outlineLevel="0" collapsed="false">
      <c r="B807" s="67"/>
      <c r="C807" s="67"/>
      <c r="D807" s="67"/>
    </row>
    <row r="808" customFormat="false" ht="15.75" hidden="false" customHeight="true" outlineLevel="0" collapsed="false">
      <c r="B808" s="67"/>
      <c r="C808" s="67"/>
      <c r="D808" s="67"/>
    </row>
    <row r="809" customFormat="false" ht="15.75" hidden="false" customHeight="true" outlineLevel="0" collapsed="false">
      <c r="B809" s="67"/>
      <c r="C809" s="67"/>
      <c r="D809" s="67"/>
    </row>
    <row r="810" customFormat="false" ht="15.75" hidden="false" customHeight="true" outlineLevel="0" collapsed="false">
      <c r="B810" s="67"/>
      <c r="C810" s="67"/>
      <c r="D810" s="67"/>
    </row>
    <row r="811" customFormat="false" ht="15.75" hidden="false" customHeight="true" outlineLevel="0" collapsed="false">
      <c r="B811" s="67"/>
      <c r="C811" s="67"/>
      <c r="D811" s="67"/>
    </row>
    <row r="812" customFormat="false" ht="15.75" hidden="false" customHeight="true" outlineLevel="0" collapsed="false">
      <c r="B812" s="67"/>
      <c r="C812" s="67"/>
      <c r="D812" s="67"/>
    </row>
    <row r="813" customFormat="false" ht="15.75" hidden="false" customHeight="true" outlineLevel="0" collapsed="false">
      <c r="B813" s="67"/>
      <c r="C813" s="67"/>
      <c r="D813" s="67"/>
    </row>
    <row r="814" customFormat="false" ht="15.75" hidden="false" customHeight="true" outlineLevel="0" collapsed="false">
      <c r="B814" s="67"/>
      <c r="C814" s="67"/>
      <c r="D814" s="67"/>
    </row>
    <row r="815" customFormat="false" ht="15.75" hidden="false" customHeight="true" outlineLevel="0" collapsed="false">
      <c r="B815" s="67"/>
      <c r="C815" s="67"/>
      <c r="D815" s="67"/>
    </row>
    <row r="816" customFormat="false" ht="15.75" hidden="false" customHeight="true" outlineLevel="0" collapsed="false">
      <c r="B816" s="67"/>
      <c r="C816" s="67"/>
      <c r="D816" s="67"/>
    </row>
    <row r="817" customFormat="false" ht="15.75" hidden="false" customHeight="true" outlineLevel="0" collapsed="false">
      <c r="B817" s="67"/>
      <c r="C817" s="67"/>
      <c r="D817" s="67"/>
    </row>
    <row r="818" customFormat="false" ht="15.75" hidden="false" customHeight="true" outlineLevel="0" collapsed="false">
      <c r="B818" s="67"/>
      <c r="C818" s="67"/>
      <c r="D818" s="67"/>
    </row>
    <row r="819" customFormat="false" ht="15.75" hidden="false" customHeight="true" outlineLevel="0" collapsed="false">
      <c r="B819" s="67"/>
      <c r="C819" s="67"/>
      <c r="D819" s="67"/>
    </row>
    <row r="820" customFormat="false" ht="15.75" hidden="false" customHeight="true" outlineLevel="0" collapsed="false">
      <c r="B820" s="67"/>
      <c r="C820" s="67"/>
      <c r="D820" s="67"/>
    </row>
    <row r="821" customFormat="false" ht="15.75" hidden="false" customHeight="true" outlineLevel="0" collapsed="false">
      <c r="B821" s="67"/>
      <c r="C821" s="67"/>
      <c r="D821" s="67"/>
    </row>
    <row r="822" customFormat="false" ht="15.75" hidden="false" customHeight="true" outlineLevel="0" collapsed="false">
      <c r="B822" s="67"/>
      <c r="C822" s="67"/>
      <c r="D822" s="67"/>
    </row>
    <row r="823" customFormat="false" ht="15.75" hidden="false" customHeight="true" outlineLevel="0" collapsed="false">
      <c r="B823" s="67"/>
      <c r="C823" s="67"/>
      <c r="D823" s="67"/>
    </row>
    <row r="824" customFormat="false" ht="15.75" hidden="false" customHeight="true" outlineLevel="0" collapsed="false">
      <c r="B824" s="67"/>
      <c r="C824" s="67"/>
      <c r="D824" s="67"/>
    </row>
    <row r="825" customFormat="false" ht="15.75" hidden="false" customHeight="true" outlineLevel="0" collapsed="false">
      <c r="B825" s="67"/>
      <c r="C825" s="67"/>
      <c r="D825" s="67"/>
    </row>
    <row r="826" customFormat="false" ht="15.75" hidden="false" customHeight="true" outlineLevel="0" collapsed="false">
      <c r="B826" s="67"/>
      <c r="C826" s="67"/>
      <c r="D826" s="67"/>
    </row>
    <row r="827" customFormat="false" ht="15.75" hidden="false" customHeight="true" outlineLevel="0" collapsed="false">
      <c r="B827" s="67"/>
      <c r="C827" s="67"/>
      <c r="D827" s="67"/>
    </row>
    <row r="828" customFormat="false" ht="15.75" hidden="false" customHeight="true" outlineLevel="0" collapsed="false">
      <c r="B828" s="67"/>
      <c r="C828" s="67"/>
      <c r="D828" s="67"/>
    </row>
    <row r="829" customFormat="false" ht="15.75" hidden="false" customHeight="true" outlineLevel="0" collapsed="false">
      <c r="B829" s="67"/>
      <c r="C829" s="67"/>
      <c r="D829" s="67"/>
    </row>
    <row r="830" customFormat="false" ht="15.75" hidden="false" customHeight="true" outlineLevel="0" collapsed="false">
      <c r="B830" s="67"/>
      <c r="C830" s="67"/>
      <c r="D830" s="67"/>
    </row>
    <row r="831" customFormat="false" ht="15.75" hidden="false" customHeight="true" outlineLevel="0" collapsed="false">
      <c r="B831" s="67"/>
      <c r="C831" s="67"/>
      <c r="D831" s="67"/>
    </row>
    <row r="832" customFormat="false" ht="15.75" hidden="false" customHeight="true" outlineLevel="0" collapsed="false">
      <c r="B832" s="67"/>
      <c r="C832" s="67"/>
      <c r="D832" s="67"/>
    </row>
    <row r="833" customFormat="false" ht="15.75" hidden="false" customHeight="true" outlineLevel="0" collapsed="false">
      <c r="B833" s="67"/>
      <c r="C833" s="67"/>
      <c r="D833" s="67"/>
    </row>
    <row r="834" customFormat="false" ht="15.75" hidden="false" customHeight="true" outlineLevel="0" collapsed="false">
      <c r="B834" s="67"/>
      <c r="C834" s="67"/>
      <c r="D834" s="67"/>
    </row>
    <row r="835" customFormat="false" ht="15.75" hidden="false" customHeight="true" outlineLevel="0" collapsed="false">
      <c r="B835" s="67"/>
      <c r="C835" s="67"/>
      <c r="D835" s="67"/>
    </row>
    <row r="836" customFormat="false" ht="15.75" hidden="false" customHeight="true" outlineLevel="0" collapsed="false">
      <c r="B836" s="67"/>
      <c r="C836" s="67"/>
      <c r="D836" s="67"/>
    </row>
    <row r="837" customFormat="false" ht="15.75" hidden="false" customHeight="true" outlineLevel="0" collapsed="false">
      <c r="B837" s="67"/>
      <c r="C837" s="67"/>
      <c r="D837" s="67"/>
    </row>
    <row r="838" customFormat="false" ht="15.75" hidden="false" customHeight="true" outlineLevel="0" collapsed="false">
      <c r="B838" s="67"/>
      <c r="C838" s="67"/>
      <c r="D838" s="67"/>
    </row>
    <row r="839" customFormat="false" ht="15.75" hidden="false" customHeight="true" outlineLevel="0" collapsed="false">
      <c r="B839" s="67"/>
      <c r="C839" s="67"/>
      <c r="D839" s="67"/>
    </row>
    <row r="840" customFormat="false" ht="15.75" hidden="false" customHeight="true" outlineLevel="0" collapsed="false">
      <c r="B840" s="67"/>
      <c r="C840" s="67"/>
      <c r="D840" s="67"/>
    </row>
    <row r="841" customFormat="false" ht="15.75" hidden="false" customHeight="true" outlineLevel="0" collapsed="false">
      <c r="B841" s="67"/>
      <c r="C841" s="67"/>
      <c r="D841" s="67"/>
    </row>
    <row r="842" customFormat="false" ht="15.75" hidden="false" customHeight="true" outlineLevel="0" collapsed="false">
      <c r="B842" s="67"/>
      <c r="C842" s="67"/>
      <c r="D842" s="67"/>
    </row>
    <row r="843" customFormat="false" ht="15.75" hidden="false" customHeight="true" outlineLevel="0" collapsed="false">
      <c r="B843" s="67"/>
      <c r="C843" s="67"/>
      <c r="D843" s="67"/>
    </row>
    <row r="844" customFormat="false" ht="15.75" hidden="false" customHeight="true" outlineLevel="0" collapsed="false">
      <c r="B844" s="67"/>
      <c r="C844" s="67"/>
      <c r="D844" s="67"/>
    </row>
    <row r="845" customFormat="false" ht="15.75" hidden="false" customHeight="true" outlineLevel="0" collapsed="false">
      <c r="B845" s="67"/>
      <c r="C845" s="67"/>
      <c r="D845" s="67"/>
    </row>
    <row r="846" customFormat="false" ht="15.75" hidden="false" customHeight="true" outlineLevel="0" collapsed="false">
      <c r="B846" s="67"/>
      <c r="C846" s="67"/>
      <c r="D846" s="67"/>
    </row>
    <row r="847" customFormat="false" ht="15.75" hidden="false" customHeight="true" outlineLevel="0" collapsed="false">
      <c r="B847" s="67"/>
      <c r="C847" s="67"/>
      <c r="D847" s="67"/>
    </row>
    <row r="848" customFormat="false" ht="15.75" hidden="false" customHeight="true" outlineLevel="0" collapsed="false">
      <c r="B848" s="67"/>
      <c r="C848" s="67"/>
      <c r="D848" s="67"/>
    </row>
    <row r="849" customFormat="false" ht="15.75" hidden="false" customHeight="true" outlineLevel="0" collapsed="false">
      <c r="B849" s="67"/>
      <c r="C849" s="67"/>
      <c r="D849" s="67"/>
    </row>
    <row r="850" customFormat="false" ht="15.75" hidden="false" customHeight="true" outlineLevel="0" collapsed="false">
      <c r="B850" s="67"/>
      <c r="C850" s="67"/>
      <c r="D850" s="67"/>
    </row>
    <row r="851" customFormat="false" ht="15.75" hidden="false" customHeight="true" outlineLevel="0" collapsed="false">
      <c r="B851" s="67"/>
      <c r="C851" s="67"/>
      <c r="D851" s="67"/>
    </row>
    <row r="852" customFormat="false" ht="15.75" hidden="false" customHeight="true" outlineLevel="0" collapsed="false">
      <c r="B852" s="67"/>
      <c r="C852" s="67"/>
      <c r="D852" s="67"/>
    </row>
    <row r="853" customFormat="false" ht="15.75" hidden="false" customHeight="true" outlineLevel="0" collapsed="false">
      <c r="B853" s="67"/>
      <c r="C853" s="67"/>
      <c r="D853" s="67"/>
    </row>
    <row r="854" customFormat="false" ht="15.75" hidden="false" customHeight="true" outlineLevel="0" collapsed="false">
      <c r="B854" s="67"/>
      <c r="C854" s="67"/>
      <c r="D854" s="67"/>
    </row>
    <row r="855" customFormat="false" ht="15.75" hidden="false" customHeight="true" outlineLevel="0" collapsed="false">
      <c r="B855" s="67"/>
      <c r="C855" s="67"/>
      <c r="D855" s="67"/>
    </row>
    <row r="856" customFormat="false" ht="15.75" hidden="false" customHeight="true" outlineLevel="0" collapsed="false">
      <c r="B856" s="67"/>
      <c r="C856" s="67"/>
      <c r="D856" s="67"/>
    </row>
    <row r="857" customFormat="false" ht="15.75" hidden="false" customHeight="true" outlineLevel="0" collapsed="false">
      <c r="B857" s="67"/>
      <c r="C857" s="67"/>
      <c r="D857" s="67"/>
    </row>
    <row r="858" customFormat="false" ht="15.75" hidden="false" customHeight="true" outlineLevel="0" collapsed="false">
      <c r="B858" s="67"/>
      <c r="C858" s="67"/>
      <c r="D858" s="67"/>
    </row>
    <row r="859" customFormat="false" ht="15.75" hidden="false" customHeight="true" outlineLevel="0" collapsed="false">
      <c r="B859" s="67"/>
      <c r="C859" s="67"/>
      <c r="D859" s="67"/>
    </row>
    <row r="860" customFormat="false" ht="15.75" hidden="false" customHeight="true" outlineLevel="0" collapsed="false">
      <c r="B860" s="67"/>
      <c r="C860" s="67"/>
      <c r="D860" s="67"/>
    </row>
    <row r="861" customFormat="false" ht="15.75" hidden="false" customHeight="true" outlineLevel="0" collapsed="false">
      <c r="B861" s="67"/>
      <c r="C861" s="67"/>
      <c r="D861" s="67"/>
    </row>
    <row r="862" customFormat="false" ht="15.75" hidden="false" customHeight="true" outlineLevel="0" collapsed="false">
      <c r="B862" s="67"/>
      <c r="C862" s="67"/>
      <c r="D862" s="67"/>
    </row>
    <row r="863" customFormat="false" ht="15.75" hidden="false" customHeight="true" outlineLevel="0" collapsed="false">
      <c r="B863" s="67"/>
      <c r="C863" s="67"/>
      <c r="D863" s="67"/>
    </row>
    <row r="864" customFormat="false" ht="15.75" hidden="false" customHeight="true" outlineLevel="0" collapsed="false">
      <c r="B864" s="67"/>
      <c r="C864" s="67"/>
      <c r="D864" s="67"/>
    </row>
    <row r="865" customFormat="false" ht="15.75" hidden="false" customHeight="true" outlineLevel="0" collapsed="false">
      <c r="B865" s="67"/>
      <c r="C865" s="67"/>
      <c r="D865" s="67"/>
    </row>
    <row r="866" customFormat="false" ht="15.75" hidden="false" customHeight="true" outlineLevel="0" collapsed="false">
      <c r="B866" s="67"/>
      <c r="C866" s="67"/>
      <c r="D866" s="67"/>
    </row>
    <row r="867" customFormat="false" ht="15.75" hidden="false" customHeight="true" outlineLevel="0" collapsed="false">
      <c r="B867" s="67"/>
      <c r="C867" s="67"/>
      <c r="D867" s="67"/>
    </row>
    <row r="868" customFormat="false" ht="15.75" hidden="false" customHeight="true" outlineLevel="0" collapsed="false">
      <c r="B868" s="67"/>
      <c r="C868" s="67"/>
      <c r="D868" s="67"/>
    </row>
    <row r="869" customFormat="false" ht="15.75" hidden="false" customHeight="true" outlineLevel="0" collapsed="false">
      <c r="B869" s="67"/>
      <c r="C869" s="67"/>
      <c r="D869" s="67"/>
    </row>
    <row r="870" customFormat="false" ht="15.75" hidden="false" customHeight="true" outlineLevel="0" collapsed="false">
      <c r="B870" s="67"/>
      <c r="C870" s="67"/>
      <c r="D870" s="67"/>
    </row>
    <row r="871" customFormat="false" ht="15.75" hidden="false" customHeight="true" outlineLevel="0" collapsed="false">
      <c r="B871" s="67"/>
      <c r="C871" s="67"/>
      <c r="D871" s="67"/>
    </row>
    <row r="872" customFormat="false" ht="15.75" hidden="false" customHeight="true" outlineLevel="0" collapsed="false">
      <c r="B872" s="67"/>
      <c r="C872" s="67"/>
      <c r="D872" s="67"/>
    </row>
    <row r="873" customFormat="false" ht="15.75" hidden="false" customHeight="true" outlineLevel="0" collapsed="false">
      <c r="B873" s="67"/>
      <c r="C873" s="67"/>
      <c r="D873" s="67"/>
    </row>
    <row r="874" customFormat="false" ht="15.75" hidden="false" customHeight="true" outlineLevel="0" collapsed="false">
      <c r="B874" s="67"/>
      <c r="C874" s="67"/>
      <c r="D874" s="67"/>
    </row>
    <row r="875" customFormat="false" ht="15.75" hidden="false" customHeight="true" outlineLevel="0" collapsed="false">
      <c r="B875" s="67"/>
      <c r="C875" s="67"/>
      <c r="D875" s="67"/>
    </row>
    <row r="876" customFormat="false" ht="15.75" hidden="false" customHeight="true" outlineLevel="0" collapsed="false">
      <c r="B876" s="67"/>
      <c r="C876" s="67"/>
      <c r="D876" s="67"/>
    </row>
    <row r="877" customFormat="false" ht="15.75" hidden="false" customHeight="true" outlineLevel="0" collapsed="false">
      <c r="B877" s="67"/>
      <c r="C877" s="67"/>
      <c r="D877" s="67"/>
    </row>
    <row r="878" customFormat="false" ht="15.75" hidden="false" customHeight="true" outlineLevel="0" collapsed="false">
      <c r="B878" s="67"/>
      <c r="C878" s="67"/>
      <c r="D878" s="67"/>
    </row>
    <row r="879" customFormat="false" ht="15.75" hidden="false" customHeight="true" outlineLevel="0" collapsed="false">
      <c r="B879" s="67"/>
      <c r="C879" s="67"/>
      <c r="D879" s="67"/>
    </row>
    <row r="880" customFormat="false" ht="15.75" hidden="false" customHeight="true" outlineLevel="0" collapsed="false">
      <c r="B880" s="67"/>
      <c r="C880" s="67"/>
      <c r="D880" s="67"/>
    </row>
    <row r="881" customFormat="false" ht="15.75" hidden="false" customHeight="true" outlineLevel="0" collapsed="false">
      <c r="B881" s="67"/>
      <c r="C881" s="67"/>
      <c r="D881" s="67"/>
    </row>
    <row r="882" customFormat="false" ht="15.75" hidden="false" customHeight="true" outlineLevel="0" collapsed="false">
      <c r="B882" s="67"/>
      <c r="C882" s="67"/>
      <c r="D882" s="67"/>
    </row>
    <row r="883" customFormat="false" ht="15.75" hidden="false" customHeight="true" outlineLevel="0" collapsed="false">
      <c r="B883" s="67"/>
      <c r="C883" s="67"/>
      <c r="D883" s="67"/>
    </row>
    <row r="884" customFormat="false" ht="15.75" hidden="false" customHeight="true" outlineLevel="0" collapsed="false">
      <c r="B884" s="67"/>
      <c r="C884" s="67"/>
      <c r="D884" s="67"/>
    </row>
    <row r="885" customFormat="false" ht="15.75" hidden="false" customHeight="true" outlineLevel="0" collapsed="false">
      <c r="B885" s="67"/>
      <c r="C885" s="67"/>
      <c r="D885" s="67"/>
    </row>
    <row r="886" customFormat="false" ht="15.75" hidden="false" customHeight="true" outlineLevel="0" collapsed="false">
      <c r="B886" s="67"/>
      <c r="C886" s="67"/>
      <c r="D886" s="67"/>
    </row>
    <row r="887" customFormat="false" ht="15.75" hidden="false" customHeight="true" outlineLevel="0" collapsed="false">
      <c r="B887" s="67"/>
      <c r="C887" s="67"/>
      <c r="D887" s="67"/>
    </row>
    <row r="888" customFormat="false" ht="15.75" hidden="false" customHeight="true" outlineLevel="0" collapsed="false">
      <c r="B888" s="67"/>
      <c r="C888" s="67"/>
      <c r="D888" s="67"/>
    </row>
    <row r="889" customFormat="false" ht="15.75" hidden="false" customHeight="true" outlineLevel="0" collapsed="false">
      <c r="B889" s="67"/>
      <c r="C889" s="67"/>
      <c r="D889" s="67"/>
    </row>
    <row r="890" customFormat="false" ht="15.75" hidden="false" customHeight="true" outlineLevel="0" collapsed="false">
      <c r="B890" s="67"/>
      <c r="C890" s="67"/>
      <c r="D890" s="67"/>
    </row>
    <row r="891" customFormat="false" ht="15.75" hidden="false" customHeight="true" outlineLevel="0" collapsed="false">
      <c r="B891" s="67"/>
      <c r="C891" s="67"/>
      <c r="D891" s="67"/>
    </row>
    <row r="892" customFormat="false" ht="15.75" hidden="false" customHeight="true" outlineLevel="0" collapsed="false">
      <c r="B892" s="67"/>
      <c r="C892" s="67"/>
      <c r="D892" s="67"/>
    </row>
    <row r="893" customFormat="false" ht="15.75" hidden="false" customHeight="true" outlineLevel="0" collapsed="false">
      <c r="B893" s="67"/>
      <c r="C893" s="67"/>
      <c r="D893" s="67"/>
    </row>
    <row r="894" customFormat="false" ht="15.75" hidden="false" customHeight="true" outlineLevel="0" collapsed="false">
      <c r="B894" s="67"/>
      <c r="C894" s="67"/>
      <c r="D894" s="67"/>
    </row>
    <row r="895" customFormat="false" ht="15.75" hidden="false" customHeight="true" outlineLevel="0" collapsed="false">
      <c r="B895" s="67"/>
      <c r="C895" s="67"/>
      <c r="D895" s="67"/>
    </row>
    <row r="896" customFormat="false" ht="15.75" hidden="false" customHeight="true" outlineLevel="0" collapsed="false">
      <c r="B896" s="67"/>
      <c r="C896" s="67"/>
      <c r="D896" s="67"/>
    </row>
    <row r="897" customFormat="false" ht="15.75" hidden="false" customHeight="true" outlineLevel="0" collapsed="false">
      <c r="B897" s="67"/>
      <c r="C897" s="67"/>
      <c r="D897" s="67"/>
    </row>
    <row r="898" customFormat="false" ht="15.75" hidden="false" customHeight="true" outlineLevel="0" collapsed="false">
      <c r="B898" s="67"/>
      <c r="C898" s="67"/>
      <c r="D898" s="67"/>
    </row>
    <row r="899" customFormat="false" ht="15.75" hidden="false" customHeight="true" outlineLevel="0" collapsed="false">
      <c r="B899" s="67"/>
      <c r="C899" s="67"/>
      <c r="D899" s="67"/>
    </row>
    <row r="900" customFormat="false" ht="15.75" hidden="false" customHeight="true" outlineLevel="0" collapsed="false">
      <c r="B900" s="67"/>
      <c r="C900" s="67"/>
      <c r="D900" s="67"/>
    </row>
    <row r="901" customFormat="false" ht="15.75" hidden="false" customHeight="true" outlineLevel="0" collapsed="false">
      <c r="B901" s="67"/>
      <c r="C901" s="67"/>
      <c r="D901" s="67"/>
    </row>
    <row r="902" customFormat="false" ht="15.75" hidden="false" customHeight="true" outlineLevel="0" collapsed="false">
      <c r="B902" s="67"/>
      <c r="C902" s="67"/>
      <c r="D902" s="67"/>
    </row>
    <row r="903" customFormat="false" ht="15.75" hidden="false" customHeight="true" outlineLevel="0" collapsed="false">
      <c r="B903" s="67"/>
      <c r="C903" s="67"/>
      <c r="D903" s="67"/>
    </row>
    <row r="904" customFormat="false" ht="15.75" hidden="false" customHeight="true" outlineLevel="0" collapsed="false">
      <c r="B904" s="67"/>
      <c r="C904" s="67"/>
      <c r="D904" s="67"/>
    </row>
    <row r="905" customFormat="false" ht="15.75" hidden="false" customHeight="true" outlineLevel="0" collapsed="false">
      <c r="B905" s="67"/>
      <c r="C905" s="67"/>
      <c r="D905" s="67"/>
    </row>
    <row r="906" customFormat="false" ht="15.75" hidden="false" customHeight="true" outlineLevel="0" collapsed="false">
      <c r="B906" s="67"/>
      <c r="C906" s="67"/>
      <c r="D906" s="67"/>
    </row>
    <row r="907" customFormat="false" ht="15.75" hidden="false" customHeight="true" outlineLevel="0" collapsed="false">
      <c r="B907" s="67"/>
      <c r="C907" s="67"/>
      <c r="D907" s="67"/>
    </row>
    <row r="908" customFormat="false" ht="15.75" hidden="false" customHeight="true" outlineLevel="0" collapsed="false">
      <c r="B908" s="67"/>
      <c r="C908" s="67"/>
      <c r="D908" s="67"/>
    </row>
    <row r="909" customFormat="false" ht="15.75" hidden="false" customHeight="true" outlineLevel="0" collapsed="false">
      <c r="B909" s="67"/>
      <c r="C909" s="67"/>
      <c r="D909" s="67"/>
    </row>
    <row r="910" customFormat="false" ht="15.75" hidden="false" customHeight="true" outlineLevel="0" collapsed="false">
      <c r="B910" s="67"/>
      <c r="C910" s="67"/>
      <c r="D910" s="67"/>
    </row>
    <row r="911" customFormat="false" ht="15.75" hidden="false" customHeight="true" outlineLevel="0" collapsed="false">
      <c r="B911" s="67"/>
      <c r="C911" s="67"/>
      <c r="D911" s="67"/>
    </row>
    <row r="912" customFormat="false" ht="15.75" hidden="false" customHeight="true" outlineLevel="0" collapsed="false">
      <c r="B912" s="67"/>
      <c r="C912" s="67"/>
      <c r="D912" s="67"/>
    </row>
    <row r="913" customFormat="false" ht="15.75" hidden="false" customHeight="true" outlineLevel="0" collapsed="false">
      <c r="B913" s="67"/>
      <c r="C913" s="67"/>
      <c r="D913" s="67"/>
    </row>
    <row r="914" customFormat="false" ht="15.75" hidden="false" customHeight="true" outlineLevel="0" collapsed="false">
      <c r="B914" s="67"/>
      <c r="C914" s="67"/>
      <c r="D914" s="67"/>
    </row>
    <row r="915" customFormat="false" ht="15.75" hidden="false" customHeight="true" outlineLevel="0" collapsed="false">
      <c r="B915" s="67"/>
      <c r="C915" s="67"/>
      <c r="D915" s="67"/>
    </row>
    <row r="916" customFormat="false" ht="15.75" hidden="false" customHeight="true" outlineLevel="0" collapsed="false">
      <c r="B916" s="67"/>
      <c r="C916" s="67"/>
      <c r="D916" s="67"/>
    </row>
    <row r="917" customFormat="false" ht="15.75" hidden="false" customHeight="true" outlineLevel="0" collapsed="false">
      <c r="B917" s="67"/>
      <c r="C917" s="67"/>
      <c r="D917" s="67"/>
    </row>
    <row r="918" customFormat="false" ht="15.75" hidden="false" customHeight="true" outlineLevel="0" collapsed="false">
      <c r="B918" s="67"/>
      <c r="C918" s="67"/>
      <c r="D918" s="67"/>
    </row>
    <row r="919" customFormat="false" ht="15.75" hidden="false" customHeight="true" outlineLevel="0" collapsed="false">
      <c r="B919" s="67"/>
      <c r="C919" s="67"/>
      <c r="D919" s="67"/>
    </row>
    <row r="920" customFormat="false" ht="15.75" hidden="false" customHeight="true" outlineLevel="0" collapsed="false">
      <c r="B920" s="67"/>
      <c r="C920" s="67"/>
      <c r="D920" s="67"/>
    </row>
    <row r="921" customFormat="false" ht="15.75" hidden="false" customHeight="true" outlineLevel="0" collapsed="false">
      <c r="B921" s="67"/>
      <c r="C921" s="67"/>
      <c r="D921" s="67"/>
    </row>
    <row r="922" customFormat="false" ht="15.75" hidden="false" customHeight="true" outlineLevel="0" collapsed="false">
      <c r="B922" s="67"/>
      <c r="C922" s="67"/>
      <c r="D922" s="67"/>
    </row>
    <row r="923" customFormat="false" ht="15.75" hidden="false" customHeight="true" outlineLevel="0" collapsed="false">
      <c r="B923" s="67"/>
      <c r="C923" s="67"/>
      <c r="D923" s="67"/>
    </row>
    <row r="924" customFormat="false" ht="15.75" hidden="false" customHeight="true" outlineLevel="0" collapsed="false">
      <c r="B924" s="67"/>
      <c r="C924" s="67"/>
      <c r="D924" s="67"/>
    </row>
    <row r="925" customFormat="false" ht="15.75" hidden="false" customHeight="true" outlineLevel="0" collapsed="false">
      <c r="B925" s="67"/>
      <c r="C925" s="67"/>
      <c r="D925" s="67"/>
    </row>
    <row r="926" customFormat="false" ht="15.75" hidden="false" customHeight="true" outlineLevel="0" collapsed="false">
      <c r="B926" s="67"/>
      <c r="C926" s="67"/>
      <c r="D926" s="67"/>
    </row>
    <row r="927" customFormat="false" ht="15.75" hidden="false" customHeight="true" outlineLevel="0" collapsed="false">
      <c r="B927" s="67"/>
      <c r="C927" s="67"/>
      <c r="D927" s="67"/>
    </row>
    <row r="928" customFormat="false" ht="15.75" hidden="false" customHeight="true" outlineLevel="0" collapsed="false">
      <c r="B928" s="67"/>
      <c r="C928" s="67"/>
      <c r="D928" s="67"/>
    </row>
    <row r="929" customFormat="false" ht="15.75" hidden="false" customHeight="true" outlineLevel="0" collapsed="false">
      <c r="B929" s="67"/>
      <c r="C929" s="67"/>
      <c r="D929" s="67"/>
    </row>
    <row r="930" customFormat="false" ht="15.75" hidden="false" customHeight="true" outlineLevel="0" collapsed="false">
      <c r="B930" s="67"/>
      <c r="C930" s="67"/>
      <c r="D930" s="67"/>
    </row>
    <row r="931" customFormat="false" ht="15.75" hidden="false" customHeight="true" outlineLevel="0" collapsed="false">
      <c r="B931" s="67"/>
      <c r="C931" s="67"/>
      <c r="D931" s="67"/>
    </row>
    <row r="932" customFormat="false" ht="15.75" hidden="false" customHeight="true" outlineLevel="0" collapsed="false">
      <c r="B932" s="67"/>
      <c r="C932" s="67"/>
      <c r="D932" s="67"/>
    </row>
    <row r="933" customFormat="false" ht="15.75" hidden="false" customHeight="true" outlineLevel="0" collapsed="false">
      <c r="B933" s="67"/>
      <c r="C933" s="67"/>
      <c r="D933" s="67"/>
    </row>
    <row r="934" customFormat="false" ht="15.75" hidden="false" customHeight="true" outlineLevel="0" collapsed="false">
      <c r="B934" s="67"/>
      <c r="C934" s="67"/>
      <c r="D934" s="67"/>
    </row>
    <row r="935" customFormat="false" ht="15.75" hidden="false" customHeight="true" outlineLevel="0" collapsed="false">
      <c r="B935" s="67"/>
      <c r="C935" s="67"/>
      <c r="D935" s="67"/>
    </row>
    <row r="936" customFormat="false" ht="15.75" hidden="false" customHeight="true" outlineLevel="0" collapsed="false">
      <c r="B936" s="67"/>
      <c r="C936" s="67"/>
      <c r="D936" s="67"/>
    </row>
    <row r="937" customFormat="false" ht="15.75" hidden="false" customHeight="true" outlineLevel="0" collapsed="false">
      <c r="B937" s="67"/>
      <c r="C937" s="67"/>
      <c r="D937" s="67"/>
    </row>
    <row r="938" customFormat="false" ht="15.75" hidden="false" customHeight="true" outlineLevel="0" collapsed="false">
      <c r="B938" s="67"/>
      <c r="C938" s="67"/>
      <c r="D938" s="67"/>
    </row>
    <row r="939" customFormat="false" ht="15.75" hidden="false" customHeight="true" outlineLevel="0" collapsed="false">
      <c r="B939" s="67"/>
      <c r="C939" s="67"/>
      <c r="D939" s="67"/>
    </row>
    <row r="940" customFormat="false" ht="15.75" hidden="false" customHeight="true" outlineLevel="0" collapsed="false">
      <c r="B940" s="67"/>
      <c r="C940" s="67"/>
      <c r="D940" s="67"/>
    </row>
    <row r="941" customFormat="false" ht="15.75" hidden="false" customHeight="true" outlineLevel="0" collapsed="false">
      <c r="B941" s="67"/>
      <c r="C941" s="67"/>
      <c r="D941" s="67"/>
    </row>
    <row r="942" customFormat="false" ht="15.75" hidden="false" customHeight="true" outlineLevel="0" collapsed="false">
      <c r="B942" s="67"/>
      <c r="C942" s="67"/>
      <c r="D942" s="67"/>
    </row>
    <row r="943" customFormat="false" ht="15.75" hidden="false" customHeight="true" outlineLevel="0" collapsed="false">
      <c r="B943" s="67"/>
      <c r="C943" s="67"/>
      <c r="D943" s="67"/>
    </row>
    <row r="944" customFormat="false" ht="15.75" hidden="false" customHeight="true" outlineLevel="0" collapsed="false">
      <c r="B944" s="67"/>
      <c r="C944" s="67"/>
      <c r="D944" s="67"/>
    </row>
    <row r="945" customFormat="false" ht="15.75" hidden="false" customHeight="true" outlineLevel="0" collapsed="false">
      <c r="B945" s="67"/>
      <c r="C945" s="67"/>
      <c r="D945" s="67"/>
    </row>
    <row r="946" customFormat="false" ht="15.75" hidden="false" customHeight="true" outlineLevel="0" collapsed="false">
      <c r="B946" s="67"/>
      <c r="C946" s="67"/>
      <c r="D946" s="67"/>
    </row>
    <row r="947" customFormat="false" ht="15.75" hidden="false" customHeight="true" outlineLevel="0" collapsed="false">
      <c r="B947" s="67"/>
      <c r="C947" s="67"/>
      <c r="D947" s="67"/>
    </row>
    <row r="948" customFormat="false" ht="15.75" hidden="false" customHeight="true" outlineLevel="0" collapsed="false">
      <c r="B948" s="67"/>
      <c r="C948" s="67"/>
      <c r="D948" s="67"/>
    </row>
    <row r="949" customFormat="false" ht="15.75" hidden="false" customHeight="true" outlineLevel="0" collapsed="false">
      <c r="B949" s="67"/>
      <c r="C949" s="67"/>
      <c r="D949" s="67"/>
    </row>
    <row r="950" customFormat="false" ht="15.75" hidden="false" customHeight="true" outlineLevel="0" collapsed="false">
      <c r="B950" s="67"/>
      <c r="C950" s="67"/>
      <c r="D950" s="67"/>
    </row>
    <row r="951" customFormat="false" ht="15.75" hidden="false" customHeight="true" outlineLevel="0" collapsed="false">
      <c r="B951" s="67"/>
      <c r="C951" s="67"/>
      <c r="D951" s="67"/>
    </row>
    <row r="952" customFormat="false" ht="15.75" hidden="false" customHeight="true" outlineLevel="0" collapsed="false">
      <c r="B952" s="67"/>
      <c r="C952" s="67"/>
      <c r="D952" s="67"/>
    </row>
    <row r="953" customFormat="false" ht="15.75" hidden="false" customHeight="true" outlineLevel="0" collapsed="false">
      <c r="B953" s="67"/>
      <c r="C953" s="67"/>
      <c r="D953" s="67"/>
    </row>
    <row r="954" customFormat="false" ht="15.75" hidden="false" customHeight="true" outlineLevel="0" collapsed="false">
      <c r="B954" s="67"/>
      <c r="C954" s="67"/>
      <c r="D954" s="67"/>
    </row>
    <row r="955" customFormat="false" ht="15.75" hidden="false" customHeight="true" outlineLevel="0" collapsed="false">
      <c r="B955" s="67"/>
      <c r="C955" s="67"/>
      <c r="D955" s="67"/>
    </row>
    <row r="956" customFormat="false" ht="15.75" hidden="false" customHeight="true" outlineLevel="0" collapsed="false">
      <c r="B956" s="67"/>
      <c r="C956" s="67"/>
      <c r="D956" s="67"/>
    </row>
    <row r="957" customFormat="false" ht="15.75" hidden="false" customHeight="true" outlineLevel="0" collapsed="false">
      <c r="B957" s="67"/>
      <c r="C957" s="67"/>
      <c r="D957" s="67"/>
    </row>
    <row r="958" customFormat="false" ht="15.75" hidden="false" customHeight="true" outlineLevel="0" collapsed="false">
      <c r="B958" s="67"/>
      <c r="C958" s="67"/>
      <c r="D958" s="67"/>
    </row>
    <row r="959" customFormat="false" ht="15.75" hidden="false" customHeight="true" outlineLevel="0" collapsed="false">
      <c r="B959" s="67"/>
      <c r="C959" s="67"/>
      <c r="D959" s="67"/>
    </row>
    <row r="960" customFormat="false" ht="15.75" hidden="false" customHeight="true" outlineLevel="0" collapsed="false">
      <c r="B960" s="67"/>
      <c r="C960" s="67"/>
      <c r="D960" s="67"/>
    </row>
    <row r="961" customFormat="false" ht="15.75" hidden="false" customHeight="true" outlineLevel="0" collapsed="false">
      <c r="B961" s="67"/>
      <c r="C961" s="67"/>
      <c r="D961" s="67"/>
    </row>
    <row r="962" customFormat="false" ht="15.75" hidden="false" customHeight="true" outlineLevel="0" collapsed="false">
      <c r="B962" s="67"/>
      <c r="C962" s="67"/>
      <c r="D962" s="67"/>
    </row>
    <row r="963" customFormat="false" ht="15.75" hidden="false" customHeight="true" outlineLevel="0" collapsed="false">
      <c r="B963" s="67"/>
      <c r="C963" s="67"/>
      <c r="D963" s="67"/>
    </row>
    <row r="964" customFormat="false" ht="15.75" hidden="false" customHeight="true" outlineLevel="0" collapsed="false">
      <c r="B964" s="67"/>
      <c r="C964" s="67"/>
      <c r="D964" s="67"/>
    </row>
    <row r="965" customFormat="false" ht="15.75" hidden="false" customHeight="true" outlineLevel="0" collapsed="false">
      <c r="B965" s="67"/>
      <c r="C965" s="67"/>
      <c r="D965" s="67"/>
    </row>
    <row r="966" customFormat="false" ht="15.75" hidden="false" customHeight="true" outlineLevel="0" collapsed="false">
      <c r="B966" s="67"/>
      <c r="C966" s="67"/>
      <c r="D966" s="67"/>
    </row>
    <row r="967" customFormat="false" ht="15.75" hidden="false" customHeight="true" outlineLevel="0" collapsed="false">
      <c r="B967" s="67"/>
      <c r="C967" s="67"/>
      <c r="D967" s="67"/>
    </row>
  </sheetData>
  <dataValidations count="3">
    <dataValidation allowBlank="true" errorStyle="stop" operator="between" showDropDown="false" showErrorMessage="true" showInputMessage="false" sqref="F2:F24" type="list">
      <formula1>"Direct email,Instagram,Website portal,Mulitple,Walk in,Facebook Messenger"</formula1>
      <formula2>0</formula2>
    </dataValidation>
    <dataValidation allowBlank="true" errorStyle="stop" operator="between" showDropDown="false" showErrorMessage="true" showInputMessage="false" sqref="A2:A24" type="list">
      <formula1>"Boise,Bozeman,Denver,Jackson Hole,National,Portland,Seattle,Taos,Vancouver"</formula1>
      <formula2>0</formula2>
    </dataValidation>
    <dataValidation allowBlank="true" errorStyle="stop" operator="between" showDropDown="false" showErrorMessage="true" showInputMessage="false" sqref="J2:J24" type="list">
      <formula1>"1st outreach,2nd outreach,In conversation,Confirmed,Declined,No response,2026 High Potential,Closed convo / do not follow up"</formula1>
      <formula2>0</formula2>
    </dataValidation>
  </dataValidations>
  <hyperlinks>
    <hyperlink ref="B3" r:id="rId1" display="Eva Moss&#10;evamoss.com"/>
    <hyperlink ref="D4" r:id="rId2" display="https://www.upwork.com/freelancers/~01154668a459da6b2b?mp_source=share"/>
    <hyperlink ref="B6" r:id="rId3" display="Lorddscreation, avier Damo&#10;https://lorddscreation.myportfolio.com/abou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
    <tablePart r:id="rId5"/>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2.6328125" defaultRowHeight="15.75" customHeight="true" zeroHeight="false" outlineLevelRow="0" outlineLevelCol="0"/>
  <cols>
    <col collapsed="false" customWidth="true" hidden="false" outlineLevel="0" max="1" min="1" style="1" width="14"/>
    <col collapsed="false" customWidth="true" hidden="false" outlineLevel="0" max="3" min="2" style="1" width="40"/>
    <col collapsed="false" customWidth="true" hidden="false" outlineLevel="0" max="5" min="4" style="1" width="14"/>
    <col collapsed="false" customWidth="true" hidden="false" outlineLevel="0" max="6" min="6" style="1" width="15"/>
    <col collapsed="false" customWidth="true" hidden="false" outlineLevel="0" max="7" min="7" style="1" width="18"/>
  </cols>
  <sheetData>
    <row r="1" customFormat="false" ht="29.25" hidden="false" customHeight="true" outlineLevel="0" collapsed="false">
      <c r="A1" s="17" t="s">
        <v>12</v>
      </c>
      <c r="B1" s="17" t="s">
        <v>1544</v>
      </c>
      <c r="C1" s="17" t="s">
        <v>1545</v>
      </c>
      <c r="D1" s="17" t="s">
        <v>1546</v>
      </c>
      <c r="E1" s="17" t="s">
        <v>1547</v>
      </c>
      <c r="F1" s="17" t="s">
        <v>1548</v>
      </c>
      <c r="G1" s="17" t="s">
        <v>1549</v>
      </c>
    </row>
    <row r="2" customFormat="false" ht="23.25" hidden="false" customHeight="true" outlineLevel="0" collapsed="false">
      <c r="A2" s="19" t="s">
        <v>1550</v>
      </c>
      <c r="B2" s="19" t="s">
        <v>1551</v>
      </c>
      <c r="C2" s="19" t="s">
        <v>1552</v>
      </c>
      <c r="D2" s="19"/>
      <c r="E2" s="76" t="b">
        <f aca="false">TRUE()</f>
        <v>1</v>
      </c>
      <c r="F2" s="76" t="b">
        <f aca="false">TRUE()</f>
        <v>1</v>
      </c>
      <c r="G2" s="76" t="b">
        <f aca="false">TRUE()</f>
        <v>1</v>
      </c>
    </row>
    <row r="3" customFormat="false" ht="23.25" hidden="false" customHeight="true" outlineLevel="0" collapsed="false">
      <c r="A3" s="22" t="s">
        <v>1550</v>
      </c>
      <c r="B3" s="22" t="s">
        <v>1553</v>
      </c>
      <c r="C3" s="22" t="s">
        <v>1554</v>
      </c>
      <c r="D3" s="22" t="s">
        <v>1555</v>
      </c>
      <c r="E3" s="77" t="b">
        <f aca="false">TRUE()</f>
        <v>1</v>
      </c>
      <c r="F3" s="77" t="b">
        <f aca="false">TRUE()</f>
        <v>1</v>
      </c>
      <c r="G3" s="77" t="b">
        <f aca="false">TRUE()</f>
        <v>1</v>
      </c>
    </row>
    <row r="4" customFormat="false" ht="15.75" hidden="false" customHeight="true" outlineLevel="0" collapsed="false">
      <c r="A4" s="19"/>
      <c r="B4" s="19"/>
      <c r="C4" s="19"/>
      <c r="D4" s="19"/>
      <c r="E4" s="19"/>
      <c r="F4" s="19"/>
      <c r="G4" s="19"/>
    </row>
    <row r="5" customFormat="false" ht="23.25" hidden="false" customHeight="true" outlineLevel="0" collapsed="false">
      <c r="A5" s="22" t="s">
        <v>1556</v>
      </c>
      <c r="B5" s="22" t="s">
        <v>1557</v>
      </c>
      <c r="C5" s="22" t="s">
        <v>1558</v>
      </c>
      <c r="D5" s="22" t="s">
        <v>1559</v>
      </c>
      <c r="E5" s="77" t="b">
        <f aca="false">TRUE()</f>
        <v>1</v>
      </c>
      <c r="F5" s="77" t="b">
        <f aca="false">TRUE()</f>
        <v>1</v>
      </c>
      <c r="G5" s="77" t="b">
        <f aca="false">TRUE()</f>
        <v>1</v>
      </c>
    </row>
    <row r="6" customFormat="false" ht="23.25" hidden="false" customHeight="true" outlineLevel="0" collapsed="false">
      <c r="A6" s="19"/>
      <c r="B6" s="19" t="s">
        <v>1560</v>
      </c>
      <c r="C6" s="19" t="s">
        <v>1561</v>
      </c>
      <c r="D6" s="19"/>
      <c r="E6" s="76" t="b">
        <f aca="false">TRUE()</f>
        <v>1</v>
      </c>
      <c r="F6" s="76" t="b">
        <f aca="false">TRUE()</f>
        <v>1</v>
      </c>
      <c r="G6" s="76" t="b">
        <f aca="false">TRUE()</f>
        <v>1</v>
      </c>
    </row>
    <row r="7" customFormat="false" ht="15.75" hidden="false" customHeight="true" outlineLevel="0" collapsed="false">
      <c r="A7" s="22" t="s">
        <v>21</v>
      </c>
      <c r="B7" s="22" t="s">
        <v>1562</v>
      </c>
      <c r="C7" s="22" t="s">
        <v>1563</v>
      </c>
      <c r="D7" s="22"/>
      <c r="E7" s="77" t="b">
        <f aca="false">TRUE()</f>
        <v>1</v>
      </c>
      <c r="F7" s="77" t="b">
        <f aca="false">TRUE()</f>
        <v>1</v>
      </c>
      <c r="G7" s="77" t="b">
        <f aca="false">TRUE()</f>
        <v>1</v>
      </c>
    </row>
    <row r="8" customFormat="false" ht="23.25" hidden="false" customHeight="true" outlineLevel="0" collapsed="false">
      <c r="A8" s="19"/>
      <c r="B8" s="19" t="s">
        <v>1564</v>
      </c>
      <c r="C8" s="19" t="s">
        <v>1565</v>
      </c>
      <c r="D8" s="19"/>
      <c r="E8" s="76" t="b">
        <f aca="false">TRUE()</f>
        <v>1</v>
      </c>
      <c r="F8" s="76" t="b">
        <f aca="false">TRUE()</f>
        <v>1</v>
      </c>
      <c r="G8" s="76" t="b">
        <f aca="false">TRUE()</f>
        <v>1</v>
      </c>
    </row>
    <row r="9" customFormat="false" ht="15.75" hidden="false" customHeight="true" outlineLevel="0" collapsed="false">
      <c r="A9" s="22"/>
      <c r="B9" s="22" t="s">
        <v>1566</v>
      </c>
      <c r="C9" s="22" t="s">
        <v>1567</v>
      </c>
      <c r="D9" s="22" t="s">
        <v>1559</v>
      </c>
      <c r="E9" s="77" t="b">
        <f aca="false">TRUE()</f>
        <v>1</v>
      </c>
      <c r="F9" s="77" t="b">
        <f aca="false">TRUE()</f>
        <v>1</v>
      </c>
      <c r="G9" s="77" t="b">
        <f aca="false">TRUE()</f>
        <v>1</v>
      </c>
    </row>
    <row r="10" customFormat="false" ht="23.25" hidden="false" customHeight="true" outlineLevel="0" collapsed="false">
      <c r="A10" s="19" t="s">
        <v>1550</v>
      </c>
      <c r="B10" s="19" t="s">
        <v>1568</v>
      </c>
      <c r="C10" s="19" t="s">
        <v>1569</v>
      </c>
      <c r="D10" s="19" t="s">
        <v>1570</v>
      </c>
      <c r="E10" s="76" t="b">
        <f aca="false">TRUE()</f>
        <v>1</v>
      </c>
      <c r="F10" s="76" t="b">
        <f aca="false">TRUE()</f>
        <v>1</v>
      </c>
      <c r="G10" s="76" t="b">
        <f aca="false">TRUE()</f>
        <v>1</v>
      </c>
    </row>
    <row r="11" customFormat="false" ht="23.25" hidden="false" customHeight="true" outlineLevel="0" collapsed="false">
      <c r="A11" s="22" t="s">
        <v>19</v>
      </c>
      <c r="B11" s="22" t="s">
        <v>1571</v>
      </c>
      <c r="C11" s="22" t="s">
        <v>1572</v>
      </c>
      <c r="D11" s="22" t="s">
        <v>1573</v>
      </c>
      <c r="E11" s="77" t="b">
        <f aca="false">FALSE()</f>
        <v>0</v>
      </c>
      <c r="F11" s="77" t="b">
        <f aca="false">FALSE()</f>
        <v>0</v>
      </c>
      <c r="G11" s="77" t="b">
        <f aca="false">FALSE()</f>
        <v>0</v>
      </c>
    </row>
    <row r="12" customFormat="false" ht="15.75" hidden="false" customHeight="true" outlineLevel="0" collapsed="false">
      <c r="A12" s="19"/>
      <c r="B12" s="19" t="s">
        <v>1574</v>
      </c>
      <c r="C12" s="19"/>
      <c r="D12" s="19"/>
      <c r="E12" s="76" t="b">
        <f aca="false">FALSE()</f>
        <v>0</v>
      </c>
      <c r="F12" s="76" t="b">
        <f aca="false">FALSE()</f>
        <v>0</v>
      </c>
      <c r="G12" s="76" t="b">
        <f aca="false">FALSE()</f>
        <v>0</v>
      </c>
    </row>
    <row r="13" customFormat="false" ht="15.75" hidden="false" customHeight="true" outlineLevel="0" collapsed="false">
      <c r="A13" s="22"/>
      <c r="B13" s="22" t="s">
        <v>1575</v>
      </c>
      <c r="C13" s="22"/>
      <c r="D13" s="22"/>
      <c r="E13" s="77" t="b">
        <f aca="false">FALSE()</f>
        <v>0</v>
      </c>
      <c r="F13" s="77" t="b">
        <f aca="false">FALSE()</f>
        <v>0</v>
      </c>
      <c r="G13" s="77" t="b">
        <f aca="false">FALSE()</f>
        <v>0</v>
      </c>
    </row>
    <row r="14" customFormat="false" ht="23.25" hidden="false" customHeight="true" outlineLevel="0" collapsed="false">
      <c r="A14" s="19" t="s">
        <v>17</v>
      </c>
      <c r="B14" s="19" t="s">
        <v>1576</v>
      </c>
      <c r="C14" s="19" t="s">
        <v>1577</v>
      </c>
      <c r="D14" s="19" t="s">
        <v>1573</v>
      </c>
      <c r="E14" s="76" t="b">
        <f aca="false">TRUE()</f>
        <v>1</v>
      </c>
      <c r="F14" s="76" t="b">
        <f aca="false">TRUE()</f>
        <v>1</v>
      </c>
      <c r="G14" s="76" t="b">
        <f aca="false">TRUE()</f>
        <v>1</v>
      </c>
    </row>
    <row r="15" customFormat="false" ht="23.25" hidden="false" customHeight="true" outlineLevel="0" collapsed="false">
      <c r="A15" s="22" t="s">
        <v>17</v>
      </c>
      <c r="B15" s="22" t="s">
        <v>1578</v>
      </c>
      <c r="C15" s="22"/>
      <c r="D15" s="22" t="s">
        <v>1579</v>
      </c>
      <c r="E15" s="77" t="b">
        <f aca="false">TRUE()</f>
        <v>1</v>
      </c>
      <c r="F15" s="77" t="b">
        <f aca="false">TRUE()</f>
        <v>1</v>
      </c>
      <c r="G15" s="77" t="b">
        <f aca="false">TRUE()</f>
        <v>1</v>
      </c>
    </row>
    <row r="16" customFormat="false" ht="23.25" hidden="false" customHeight="true" outlineLevel="0" collapsed="false">
      <c r="A16" s="19" t="s">
        <v>1550</v>
      </c>
      <c r="B16" s="29" t="s">
        <v>1580</v>
      </c>
      <c r="C16" s="19" t="s">
        <v>1581</v>
      </c>
      <c r="D16" s="19" t="s">
        <v>1555</v>
      </c>
      <c r="E16" s="76" t="b">
        <f aca="false">TRUE()</f>
        <v>1</v>
      </c>
      <c r="F16" s="76" t="b">
        <f aca="false">TRUE()</f>
        <v>1</v>
      </c>
      <c r="G16" s="76" t="b">
        <f aca="false">TRUE()</f>
        <v>1</v>
      </c>
    </row>
    <row r="17" customFormat="false" ht="15.75" hidden="false" customHeight="true" outlineLevel="0" collapsed="false">
      <c r="A17" s="22" t="s">
        <v>21</v>
      </c>
      <c r="B17" s="22" t="s">
        <v>1582</v>
      </c>
      <c r="C17" s="22" t="s">
        <v>1583</v>
      </c>
      <c r="D17" s="22" t="s">
        <v>1555</v>
      </c>
      <c r="E17" s="77" t="b">
        <f aca="false">FALSE()</f>
        <v>0</v>
      </c>
      <c r="F17" s="77" t="b">
        <f aca="false">FALSE()</f>
        <v>0</v>
      </c>
      <c r="G17" s="77" t="b">
        <f aca="false">FALSE()</f>
        <v>0</v>
      </c>
    </row>
    <row r="18" customFormat="false" ht="23.25" hidden="false" customHeight="true" outlineLevel="0" collapsed="false">
      <c r="A18" s="19" t="s">
        <v>21</v>
      </c>
      <c r="B18" s="19" t="s">
        <v>1584</v>
      </c>
      <c r="C18" s="19"/>
      <c r="D18" s="19" t="s">
        <v>1573</v>
      </c>
      <c r="E18" s="76" t="b">
        <f aca="false">FALSE()</f>
        <v>0</v>
      </c>
      <c r="F18" s="76" t="b">
        <f aca="false">FALSE()</f>
        <v>0</v>
      </c>
      <c r="G18" s="76" t="b">
        <f aca="false">FALSE()</f>
        <v>0</v>
      </c>
    </row>
    <row r="19" customFormat="false" ht="23.25" hidden="false" customHeight="true" outlineLevel="0" collapsed="false">
      <c r="A19" s="22" t="s">
        <v>21</v>
      </c>
      <c r="B19" s="22" t="s">
        <v>1585</v>
      </c>
      <c r="C19" s="22" t="s">
        <v>1586</v>
      </c>
      <c r="D19" s="22" t="s">
        <v>1570</v>
      </c>
      <c r="E19" s="77" t="b">
        <f aca="false">FALSE()</f>
        <v>0</v>
      </c>
      <c r="F19" s="77" t="b">
        <f aca="false">FALSE()</f>
        <v>0</v>
      </c>
      <c r="G19" s="77" t="b">
        <f aca="false">FALSE()</f>
        <v>0</v>
      </c>
    </row>
    <row r="20" customFormat="false" ht="23.25" hidden="false" customHeight="true" outlineLevel="0" collapsed="false">
      <c r="A20" s="19" t="s">
        <v>20</v>
      </c>
      <c r="B20" s="19" t="s">
        <v>1587</v>
      </c>
      <c r="C20" s="29" t="s">
        <v>1588</v>
      </c>
      <c r="D20" s="19"/>
      <c r="E20" s="76" t="b">
        <f aca="false">FALSE()</f>
        <v>0</v>
      </c>
      <c r="F20" s="76" t="b">
        <f aca="false">FALSE()</f>
        <v>0</v>
      </c>
      <c r="G20" s="76" t="b">
        <f aca="false">FALSE()</f>
        <v>0</v>
      </c>
    </row>
    <row r="21" customFormat="false" ht="23.25" hidden="false" customHeight="true" outlineLevel="0" collapsed="false">
      <c r="A21" s="22" t="s">
        <v>17</v>
      </c>
      <c r="B21" s="22" t="s">
        <v>1589</v>
      </c>
      <c r="C21" s="22" t="s">
        <v>1590</v>
      </c>
      <c r="D21" s="22"/>
      <c r="E21" s="77" t="b">
        <f aca="false">FALSE()</f>
        <v>0</v>
      </c>
      <c r="F21" s="77" t="b">
        <f aca="false">FALSE()</f>
        <v>0</v>
      </c>
      <c r="G21" s="77" t="b">
        <f aca="false">FALSE()</f>
        <v>0</v>
      </c>
    </row>
    <row r="22" customFormat="false" ht="23.25" hidden="false" customHeight="true" outlineLevel="0" collapsed="false">
      <c r="A22" s="19" t="s">
        <v>17</v>
      </c>
      <c r="B22" s="29" t="s">
        <v>1591</v>
      </c>
      <c r="C22" s="29" t="s">
        <v>1592</v>
      </c>
      <c r="D22" s="19" t="s">
        <v>1579</v>
      </c>
      <c r="E22" s="76" t="b">
        <f aca="false">TRUE()</f>
        <v>1</v>
      </c>
      <c r="F22" s="76" t="b">
        <f aca="false">TRUE()</f>
        <v>1</v>
      </c>
      <c r="G22" s="76" t="b">
        <f aca="false">TRUE()</f>
        <v>1</v>
      </c>
    </row>
    <row r="23" customFormat="false" ht="15.75" hidden="false" customHeight="true" outlineLevel="0" collapsed="false">
      <c r="A23" s="22" t="s">
        <v>14</v>
      </c>
      <c r="B23" s="22" t="s">
        <v>1593</v>
      </c>
      <c r="C23" s="22"/>
      <c r="D23" s="22"/>
      <c r="E23" s="77" t="b">
        <f aca="false">FALSE()</f>
        <v>0</v>
      </c>
      <c r="F23" s="77" t="b">
        <f aca="false">FALSE()</f>
        <v>0</v>
      </c>
      <c r="G23" s="77" t="b">
        <f aca="false">FALSE()</f>
        <v>0</v>
      </c>
    </row>
    <row r="24" customFormat="false" ht="15.75" hidden="false" customHeight="true" outlineLevel="0" collapsed="false">
      <c r="A24" s="19" t="s">
        <v>14</v>
      </c>
      <c r="B24" s="19" t="s">
        <v>1594</v>
      </c>
      <c r="C24" s="19"/>
      <c r="D24" s="19"/>
      <c r="E24" s="76" t="b">
        <f aca="false">FALSE()</f>
        <v>0</v>
      </c>
      <c r="F24" s="76" t="b">
        <f aca="false">FALSE()</f>
        <v>0</v>
      </c>
      <c r="G24" s="76" t="b">
        <f aca="false">FALSE()</f>
        <v>0</v>
      </c>
    </row>
    <row r="25" customFormat="false" ht="23.25" hidden="false" customHeight="true" outlineLevel="0" collapsed="false">
      <c r="A25" s="22" t="s">
        <v>14</v>
      </c>
      <c r="B25" s="22" t="s">
        <v>1595</v>
      </c>
      <c r="C25" s="22" t="s">
        <v>1596</v>
      </c>
      <c r="D25" s="22"/>
      <c r="E25" s="77" t="b">
        <f aca="false">FALSE()</f>
        <v>0</v>
      </c>
      <c r="F25" s="77" t="b">
        <f aca="false">FALSE()</f>
        <v>0</v>
      </c>
      <c r="G25" s="77" t="b">
        <f aca="false">FALSE()</f>
        <v>0</v>
      </c>
    </row>
    <row r="26" customFormat="false" ht="15.75" hidden="false" customHeight="true" outlineLevel="0" collapsed="false">
      <c r="A26" s="19" t="s">
        <v>14</v>
      </c>
      <c r="B26" s="19" t="s">
        <v>1597</v>
      </c>
      <c r="C26" s="19"/>
      <c r="D26" s="19"/>
      <c r="E26" s="76" t="b">
        <f aca="false">FALSE()</f>
        <v>0</v>
      </c>
      <c r="F26" s="76" t="b">
        <f aca="false">FALSE()</f>
        <v>0</v>
      </c>
      <c r="G26" s="76" t="b">
        <f aca="false">FALSE()</f>
        <v>0</v>
      </c>
    </row>
    <row r="27" customFormat="false" ht="15.75" hidden="false" customHeight="true" outlineLevel="0" collapsed="false">
      <c r="A27" s="22" t="s">
        <v>14</v>
      </c>
      <c r="B27" s="22" t="s">
        <v>1598</v>
      </c>
      <c r="C27" s="22"/>
      <c r="D27" s="22"/>
      <c r="E27" s="77" t="b">
        <f aca="false">FALSE()</f>
        <v>0</v>
      </c>
      <c r="F27" s="77" t="b">
        <f aca="false">FALSE()</f>
        <v>0</v>
      </c>
      <c r="G27" s="77" t="b">
        <f aca="false">FALSE()</f>
        <v>0</v>
      </c>
    </row>
    <row r="28" customFormat="false" ht="23.25" hidden="false" customHeight="true" outlineLevel="0" collapsed="false">
      <c r="A28" s="19" t="s">
        <v>14</v>
      </c>
      <c r="B28" s="19" t="s">
        <v>1599</v>
      </c>
      <c r="C28" s="29" t="s">
        <v>1600</v>
      </c>
      <c r="D28" s="19" t="s">
        <v>1573</v>
      </c>
      <c r="E28" s="76" t="b">
        <f aca="false">FALSE()</f>
        <v>0</v>
      </c>
      <c r="F28" s="76" t="b">
        <f aca="false">FALSE()</f>
        <v>0</v>
      </c>
      <c r="G28" s="76" t="b">
        <f aca="false">FALSE()</f>
        <v>0</v>
      </c>
    </row>
    <row r="29" customFormat="false" ht="34.5" hidden="false" customHeight="true" outlineLevel="0" collapsed="false">
      <c r="A29" s="22" t="s">
        <v>20</v>
      </c>
      <c r="B29" s="22" t="s">
        <v>1601</v>
      </c>
      <c r="C29" s="22"/>
      <c r="D29" s="22"/>
      <c r="E29" s="77" t="b">
        <f aca="false">FALSE()</f>
        <v>0</v>
      </c>
      <c r="F29" s="77" t="b">
        <f aca="false">FALSE()</f>
        <v>0</v>
      </c>
      <c r="G29" s="77" t="b">
        <f aca="false">FALSE()</f>
        <v>0</v>
      </c>
    </row>
    <row r="30" customFormat="false" ht="15.75" hidden="false" customHeight="true" outlineLevel="0" collapsed="false">
      <c r="A30" s="19" t="s">
        <v>14</v>
      </c>
      <c r="B30" s="19"/>
      <c r="C30" s="19"/>
      <c r="D30" s="19"/>
      <c r="E30" s="76" t="b">
        <f aca="false">FALSE()</f>
        <v>0</v>
      </c>
      <c r="F30" s="76" t="b">
        <f aca="false">FALSE()</f>
        <v>0</v>
      </c>
      <c r="G30" s="76" t="b">
        <f aca="false">FALSE()</f>
        <v>0</v>
      </c>
    </row>
    <row r="31" customFormat="false" ht="15.75" hidden="false" customHeight="true" outlineLevel="0" collapsed="false">
      <c r="A31" s="22" t="s">
        <v>14</v>
      </c>
      <c r="B31" s="22"/>
      <c r="C31" s="22"/>
      <c r="D31" s="22"/>
      <c r="E31" s="77" t="b">
        <f aca="false">FALSE()</f>
        <v>0</v>
      </c>
      <c r="F31" s="77" t="b">
        <f aca="false">FALSE()</f>
        <v>0</v>
      </c>
      <c r="G31" s="77" t="b">
        <f aca="false">FALSE()</f>
        <v>0</v>
      </c>
    </row>
    <row r="32" customFormat="false" ht="15.75" hidden="false" customHeight="true" outlineLevel="0" collapsed="false">
      <c r="A32" s="19" t="s">
        <v>14</v>
      </c>
      <c r="B32" s="19"/>
      <c r="C32" s="19"/>
      <c r="D32" s="19"/>
      <c r="E32" s="76" t="b">
        <f aca="false">FALSE()</f>
        <v>0</v>
      </c>
      <c r="F32" s="76" t="b">
        <f aca="false">FALSE()</f>
        <v>0</v>
      </c>
      <c r="G32" s="76" t="b">
        <f aca="false">FALSE()</f>
        <v>0</v>
      </c>
    </row>
    <row r="33" customFormat="false" ht="15.75" hidden="false" customHeight="true" outlineLevel="0" collapsed="false">
      <c r="A33" s="22" t="s">
        <v>14</v>
      </c>
      <c r="B33" s="22"/>
      <c r="C33" s="22"/>
      <c r="D33" s="22"/>
      <c r="E33" s="77" t="b">
        <f aca="false">FALSE()</f>
        <v>0</v>
      </c>
      <c r="F33" s="77" t="b">
        <f aca="false">FALSE()</f>
        <v>0</v>
      </c>
      <c r="G33" s="77" t="b">
        <f aca="false">FALSE()</f>
        <v>0</v>
      </c>
    </row>
    <row r="34" customFormat="false" ht="15.75" hidden="false" customHeight="true" outlineLevel="0" collapsed="false">
      <c r="A34" s="19" t="s">
        <v>14</v>
      </c>
      <c r="B34" s="19"/>
      <c r="C34" s="19"/>
      <c r="D34" s="19"/>
      <c r="E34" s="76" t="b">
        <f aca="false">FALSE()</f>
        <v>0</v>
      </c>
      <c r="F34" s="76" t="b">
        <f aca="false">FALSE()</f>
        <v>0</v>
      </c>
      <c r="G34" s="76" t="b">
        <f aca="false">FALSE()</f>
        <v>0</v>
      </c>
    </row>
    <row r="35" customFormat="false" ht="15.75" hidden="false" customHeight="true" outlineLevel="0" collapsed="false">
      <c r="A35" s="22" t="s">
        <v>14</v>
      </c>
      <c r="B35" s="22"/>
      <c r="C35" s="22"/>
      <c r="D35" s="22"/>
      <c r="E35" s="77" t="b">
        <f aca="false">FALSE()</f>
        <v>0</v>
      </c>
      <c r="F35" s="77" t="b">
        <f aca="false">FALSE()</f>
        <v>0</v>
      </c>
      <c r="G35" s="77" t="b">
        <f aca="false">FALSE()</f>
        <v>0</v>
      </c>
    </row>
  </sheetData>
  <dataValidations count="2">
    <dataValidation allowBlank="true" errorStyle="stop" operator="between" showDropDown="false" showErrorMessage="true" showInputMessage="false" sqref="A2:A35" type="list">
      <formula1>"Austin,Boise,Bozeman,Denver,Sante Fe,Taos,Portland,Seattle,Vancouver,Other city"</formula1>
      <formula2>0</formula2>
    </dataValidation>
    <dataValidation allowBlank="true" errorStyle="stop" operator="between" showDropDown="false" showErrorMessage="true" showInputMessage="false" sqref="D2:D35" type="list">
      <formula1>"S,M,L,XL,no shirt"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84F"/>
    <outlinePr summaryBelow="0"/>
    <pageSetUpPr fitToPage="false"/>
  </sheetPr>
  <dimension ref="A1:H2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6"/>
    <col collapsed="false" customWidth="true" hidden="false" outlineLevel="0" max="6" min="2" style="1" width="40"/>
    <col collapsed="false" customWidth="true" hidden="false" outlineLevel="0" max="7" min="7" style="1" width="18"/>
    <col collapsed="false" customWidth="true" hidden="false" outlineLevel="0" max="8" min="8" style="1" width="17"/>
  </cols>
  <sheetData>
    <row r="1" customFormat="false" ht="41.25" hidden="false" customHeight="true" outlineLevel="0" collapsed="false">
      <c r="A1" s="17" t="s">
        <v>12</v>
      </c>
      <c r="B1" s="17" t="s">
        <v>202</v>
      </c>
      <c r="C1" s="17" t="s">
        <v>203</v>
      </c>
      <c r="D1" s="17" t="s">
        <v>1602</v>
      </c>
      <c r="E1" s="17" t="s">
        <v>1603</v>
      </c>
      <c r="F1" s="17" t="s">
        <v>207</v>
      </c>
      <c r="G1" s="17" t="s">
        <v>208</v>
      </c>
      <c r="H1" s="17" t="s">
        <v>209</v>
      </c>
    </row>
    <row r="2" customFormat="false" ht="23.25" hidden="false" customHeight="true" outlineLevel="0" collapsed="false">
      <c r="A2" s="19" t="s">
        <v>19</v>
      </c>
      <c r="B2" s="19" t="s">
        <v>362</v>
      </c>
      <c r="C2" s="29" t="s">
        <v>1604</v>
      </c>
      <c r="D2" s="29" t="s">
        <v>1605</v>
      </c>
      <c r="E2" s="29" t="s">
        <v>1606</v>
      </c>
      <c r="F2" s="29" t="s">
        <v>1607</v>
      </c>
      <c r="G2" s="42"/>
      <c r="H2" s="29"/>
    </row>
    <row r="3" customFormat="false" ht="23.25" hidden="false" customHeight="true" outlineLevel="0" collapsed="false">
      <c r="A3" s="22" t="s">
        <v>17</v>
      </c>
      <c r="B3" s="22" t="s">
        <v>477</v>
      </c>
      <c r="C3" s="22" t="s">
        <v>1608</v>
      </c>
      <c r="D3" s="22" t="s">
        <v>1609</v>
      </c>
      <c r="E3" s="22" t="s">
        <v>1610</v>
      </c>
      <c r="F3" s="41"/>
      <c r="G3" s="22" t="s">
        <v>480</v>
      </c>
      <c r="H3" s="22" t="s">
        <v>481</v>
      </c>
    </row>
    <row r="4" customFormat="false" ht="23.25" hidden="false" customHeight="true" outlineLevel="0" collapsed="false">
      <c r="A4" s="19" t="s">
        <v>17</v>
      </c>
      <c r="B4" s="19" t="s">
        <v>584</v>
      </c>
      <c r="C4" s="19" t="s">
        <v>1611</v>
      </c>
      <c r="D4" s="29" t="s">
        <v>1612</v>
      </c>
      <c r="E4" s="19" t="s">
        <v>1613</v>
      </c>
      <c r="F4" s="19" t="s">
        <v>1614</v>
      </c>
      <c r="G4" s="40"/>
      <c r="H4" s="19"/>
    </row>
    <row r="5" customFormat="false" ht="23.25" hidden="false" customHeight="true" outlineLevel="0" collapsed="false">
      <c r="A5" s="22" t="s">
        <v>17</v>
      </c>
      <c r="B5" s="22" t="s">
        <v>473</v>
      </c>
      <c r="C5" s="22" t="s">
        <v>474</v>
      </c>
      <c r="D5" s="22" t="s">
        <v>1615</v>
      </c>
      <c r="E5" s="22" t="s">
        <v>1616</v>
      </c>
      <c r="F5" s="22" t="s">
        <v>1617</v>
      </c>
      <c r="G5" s="41"/>
      <c r="H5" s="22"/>
    </row>
    <row r="6" customFormat="false" ht="45.75" hidden="false" customHeight="true" outlineLevel="0" collapsed="false">
      <c r="A6" s="19" t="s">
        <v>17</v>
      </c>
      <c r="B6" s="19" t="s">
        <v>510</v>
      </c>
      <c r="C6" s="29" t="s">
        <v>511</v>
      </c>
      <c r="D6" s="29" t="s">
        <v>1618</v>
      </c>
      <c r="E6" s="29" t="s">
        <v>1619</v>
      </c>
      <c r="F6" s="29" t="s">
        <v>1620</v>
      </c>
      <c r="G6" s="42"/>
      <c r="H6" s="29"/>
    </row>
    <row r="7" customFormat="false" ht="45.75" hidden="false" customHeight="true" outlineLevel="0" collapsed="false">
      <c r="A7" s="22" t="s">
        <v>17</v>
      </c>
      <c r="B7" s="22" t="s">
        <v>1621</v>
      </c>
      <c r="C7" s="22" t="s">
        <v>533</v>
      </c>
      <c r="D7" s="22" t="s">
        <v>1622</v>
      </c>
      <c r="E7" s="41"/>
      <c r="F7" s="22" t="s">
        <v>534</v>
      </c>
      <c r="G7" s="22" t="s">
        <v>535</v>
      </c>
      <c r="H7" s="22" t="s">
        <v>536</v>
      </c>
    </row>
    <row r="8" customFormat="false" ht="23.25" hidden="false" customHeight="true" outlineLevel="0" collapsed="false">
      <c r="A8" s="19" t="s">
        <v>17</v>
      </c>
      <c r="B8" s="19" t="s">
        <v>609</v>
      </c>
      <c r="C8" s="29" t="s">
        <v>610</v>
      </c>
      <c r="D8" s="19" t="s">
        <v>611</v>
      </c>
      <c r="E8" s="42"/>
      <c r="F8" s="29" t="s">
        <v>1623</v>
      </c>
      <c r="G8" s="29" t="s">
        <v>1624</v>
      </c>
      <c r="H8" s="29" t="s">
        <v>1625</v>
      </c>
    </row>
    <row r="9" customFormat="false" ht="45.75" hidden="false" customHeight="true" outlineLevel="0" collapsed="false">
      <c r="A9" s="22" t="s">
        <v>17</v>
      </c>
      <c r="B9" s="22" t="s">
        <v>1626</v>
      </c>
      <c r="C9" s="22" t="s">
        <v>1627</v>
      </c>
      <c r="D9" s="22" t="s">
        <v>1628</v>
      </c>
      <c r="E9" s="22" t="s">
        <v>1629</v>
      </c>
      <c r="F9" s="22" t="s">
        <v>1630</v>
      </c>
      <c r="G9" s="22" t="s">
        <v>1631</v>
      </c>
      <c r="H9" s="22" t="s">
        <v>1632</v>
      </c>
    </row>
    <row r="10" customFormat="false" ht="34.5" hidden="false" customHeight="true" outlineLevel="0" collapsed="false">
      <c r="A10" s="19" t="s">
        <v>14</v>
      </c>
      <c r="B10" s="19" t="s">
        <v>846</v>
      </c>
      <c r="C10" s="19" t="s">
        <v>847</v>
      </c>
      <c r="D10" s="19"/>
      <c r="E10" s="19" t="s">
        <v>848</v>
      </c>
      <c r="F10" s="19" t="s">
        <v>849</v>
      </c>
      <c r="G10" s="29" t="s">
        <v>851</v>
      </c>
      <c r="H10" s="29" t="s">
        <v>1633</v>
      </c>
    </row>
    <row r="11" customFormat="false" ht="23.25" hidden="false" customHeight="true" outlineLevel="0" collapsed="false">
      <c r="A11" s="22" t="s">
        <v>21</v>
      </c>
      <c r="B11" s="22" t="s">
        <v>1282</v>
      </c>
      <c r="C11" s="22" t="s">
        <v>1283</v>
      </c>
      <c r="D11" s="22" t="s">
        <v>1284</v>
      </c>
      <c r="E11" s="41"/>
      <c r="F11" s="41"/>
      <c r="G11" s="41"/>
      <c r="H11" s="22"/>
    </row>
    <row r="12" customFormat="false" ht="90.75" hidden="false" customHeight="true" outlineLevel="0" collapsed="false">
      <c r="A12" s="19" t="s">
        <v>14</v>
      </c>
      <c r="B12" s="19" t="s">
        <v>1634</v>
      </c>
      <c r="C12" s="19" t="s">
        <v>1635</v>
      </c>
      <c r="D12" s="40"/>
      <c r="E12" s="19" t="s">
        <v>1636</v>
      </c>
      <c r="F12" s="19" t="s">
        <v>1637</v>
      </c>
      <c r="G12" s="29" t="s">
        <v>1638</v>
      </c>
      <c r="H12" s="29"/>
    </row>
    <row r="13" customFormat="false" ht="15.75" hidden="false" customHeight="true" outlineLevel="0" collapsed="false">
      <c r="A13" s="22" t="s">
        <v>14</v>
      </c>
      <c r="B13" s="22" t="s">
        <v>1639</v>
      </c>
      <c r="C13" s="22" t="s">
        <v>1640</v>
      </c>
      <c r="D13" s="41"/>
      <c r="E13" s="41"/>
      <c r="F13" s="41"/>
      <c r="G13" s="41"/>
      <c r="H13" s="22"/>
    </row>
    <row r="14" customFormat="false" ht="34.5" hidden="false" customHeight="true" outlineLevel="0" collapsed="false">
      <c r="A14" s="19" t="s">
        <v>1641</v>
      </c>
      <c r="B14" s="19" t="s">
        <v>1642</v>
      </c>
      <c r="C14" s="19" t="s">
        <v>1643</v>
      </c>
      <c r="D14" s="19" t="s">
        <v>1644</v>
      </c>
      <c r="E14" s="19" t="s">
        <v>1645</v>
      </c>
      <c r="F14" s="19" t="s">
        <v>1646</v>
      </c>
      <c r="G14" s="29" t="s">
        <v>1647</v>
      </c>
      <c r="H14" s="29" t="s">
        <v>1648</v>
      </c>
    </row>
    <row r="15" customFormat="false" ht="15.75" hidden="false" customHeight="true" outlineLevel="0" collapsed="false">
      <c r="A15" s="22" t="s">
        <v>1641</v>
      </c>
      <c r="B15" s="22" t="s">
        <v>1649</v>
      </c>
      <c r="C15" s="22" t="s">
        <v>1650</v>
      </c>
      <c r="D15" s="41"/>
      <c r="E15" s="41"/>
      <c r="F15" s="41"/>
      <c r="G15" s="22" t="s">
        <v>1651</v>
      </c>
      <c r="H15" s="78" t="n">
        <v>2338</v>
      </c>
    </row>
    <row r="16" customFormat="false" ht="15.75" hidden="false" customHeight="true" outlineLevel="0" collapsed="false">
      <c r="A16" s="19" t="s">
        <v>1641</v>
      </c>
      <c r="B16" s="19" t="s">
        <v>1652</v>
      </c>
      <c r="C16" s="19" t="s">
        <v>1650</v>
      </c>
      <c r="D16" s="19"/>
      <c r="E16" s="19"/>
      <c r="F16" s="19"/>
      <c r="G16" s="29" t="s">
        <v>1653</v>
      </c>
      <c r="H16" s="44" t="n">
        <v>2441</v>
      </c>
    </row>
    <row r="17" customFormat="false" ht="15.75" hidden="false" customHeight="true" outlineLevel="0" collapsed="false">
      <c r="A17" s="22" t="s">
        <v>20</v>
      </c>
      <c r="B17" s="22" t="s">
        <v>1654</v>
      </c>
      <c r="C17" s="22"/>
      <c r="D17" s="22"/>
      <c r="E17" s="22"/>
      <c r="F17" s="22"/>
      <c r="G17" s="22" t="s">
        <v>1655</v>
      </c>
      <c r="H17" s="22" t="s">
        <v>1323</v>
      </c>
    </row>
    <row r="18" customFormat="false" ht="34.5" hidden="false" customHeight="true" outlineLevel="0" collapsed="false">
      <c r="A18" s="19" t="s">
        <v>20</v>
      </c>
      <c r="B18" s="19" t="s">
        <v>1656</v>
      </c>
      <c r="C18" s="19" t="s">
        <v>1657</v>
      </c>
      <c r="D18" s="19"/>
      <c r="E18" s="19"/>
      <c r="F18" s="19"/>
      <c r="G18" s="29" t="s">
        <v>1658</v>
      </c>
      <c r="H18" s="44" t="n">
        <v>3366</v>
      </c>
    </row>
    <row r="19" customFormat="false" ht="15.75" hidden="false" customHeight="true" outlineLevel="0" collapsed="false">
      <c r="A19" s="22" t="s">
        <v>20</v>
      </c>
      <c r="B19" s="22" t="s">
        <v>1659</v>
      </c>
      <c r="C19" s="22" t="s">
        <v>1660</v>
      </c>
      <c r="D19" s="22"/>
      <c r="E19" s="22"/>
      <c r="F19" s="22"/>
      <c r="G19" s="22" t="s">
        <v>1661</v>
      </c>
      <c r="H19" s="22" t="s">
        <v>1662</v>
      </c>
    </row>
    <row r="20" customFormat="false" ht="15.75" hidden="false" customHeight="true" outlineLevel="0" collapsed="false">
      <c r="A20" s="19" t="s">
        <v>20</v>
      </c>
      <c r="B20" s="19" t="s">
        <v>1663</v>
      </c>
      <c r="C20" s="19" t="s">
        <v>1664</v>
      </c>
      <c r="D20" s="19"/>
      <c r="E20" s="19"/>
      <c r="F20" s="19"/>
      <c r="G20" s="29" t="s">
        <v>1665</v>
      </c>
      <c r="H20" s="29" t="s">
        <v>1666</v>
      </c>
    </row>
    <row r="21" customFormat="false" ht="23.25" hidden="false" customHeight="true" outlineLevel="0" collapsed="false">
      <c r="A21" s="22" t="s">
        <v>20</v>
      </c>
      <c r="B21" s="22" t="s">
        <v>1667</v>
      </c>
      <c r="C21" s="22" t="s">
        <v>1668</v>
      </c>
      <c r="D21" s="22"/>
      <c r="E21" s="22"/>
      <c r="F21" s="22"/>
      <c r="G21" s="22" t="s">
        <v>325</v>
      </c>
      <c r="H21" s="22" t="s">
        <v>1669</v>
      </c>
    </row>
    <row r="22" customFormat="false" ht="15.75" hidden="false" customHeight="true" outlineLevel="0" collapsed="false">
      <c r="A22" s="19" t="s">
        <v>20</v>
      </c>
      <c r="B22" s="19" t="s">
        <v>1670</v>
      </c>
      <c r="C22" s="19" t="s">
        <v>1671</v>
      </c>
      <c r="D22" s="19"/>
      <c r="E22" s="19"/>
      <c r="F22" s="19"/>
      <c r="G22" s="29" t="s">
        <v>1672</v>
      </c>
      <c r="H22" s="29" t="s">
        <v>1673</v>
      </c>
    </row>
    <row r="23" customFormat="false" ht="23.25" hidden="false" customHeight="true" outlineLevel="0" collapsed="false">
      <c r="A23" s="22" t="s">
        <v>20</v>
      </c>
      <c r="B23" s="22" t="s">
        <v>1674</v>
      </c>
      <c r="C23" s="22" t="s">
        <v>1675</v>
      </c>
      <c r="D23" s="22"/>
      <c r="E23" s="22" t="s">
        <v>1676</v>
      </c>
      <c r="F23" s="22"/>
      <c r="G23" s="22" t="s">
        <v>1677</v>
      </c>
      <c r="H23" s="22" t="s">
        <v>1678</v>
      </c>
    </row>
    <row r="24" customFormat="false" ht="23.25" hidden="false" customHeight="true" outlineLevel="0" collapsed="false">
      <c r="A24" s="19" t="s">
        <v>20</v>
      </c>
      <c r="B24" s="19" t="s">
        <v>1679</v>
      </c>
      <c r="C24" s="19" t="s">
        <v>1680</v>
      </c>
      <c r="D24" s="19"/>
      <c r="E24" s="19" t="s">
        <v>1681</v>
      </c>
      <c r="F24" s="19"/>
      <c r="G24" s="29" t="s">
        <v>1682</v>
      </c>
      <c r="H24" s="29" t="s">
        <v>1683</v>
      </c>
    </row>
    <row r="25" customFormat="false" ht="34.5" hidden="false" customHeight="true" outlineLevel="0" collapsed="false">
      <c r="A25" s="22" t="s">
        <v>20</v>
      </c>
      <c r="B25" s="22" t="s">
        <v>1684</v>
      </c>
      <c r="C25" s="22" t="s">
        <v>1685</v>
      </c>
      <c r="D25" s="22"/>
      <c r="E25" s="22"/>
      <c r="F25" s="22"/>
      <c r="G25" s="22"/>
      <c r="H25" s="22"/>
    </row>
    <row r="26" customFormat="false" ht="23.25" hidden="false" customHeight="true" outlineLevel="0" collapsed="false">
      <c r="A26" s="19" t="s">
        <v>20</v>
      </c>
      <c r="B26" s="19" t="s">
        <v>1686</v>
      </c>
      <c r="C26" s="19" t="s">
        <v>1687</v>
      </c>
      <c r="D26" s="19"/>
      <c r="E26" s="19"/>
      <c r="F26" s="19" t="s">
        <v>1688</v>
      </c>
      <c r="G26" s="29" t="s">
        <v>1689</v>
      </c>
      <c r="H26" s="29" t="s">
        <v>1690</v>
      </c>
    </row>
    <row r="27" customFormat="false" ht="15.75" hidden="false" customHeight="true" outlineLevel="0" collapsed="false">
      <c r="A27" s="79"/>
      <c r="B27" s="80"/>
      <c r="C27" s="54"/>
      <c r="D27" s="80"/>
      <c r="E27" s="80"/>
      <c r="F27" s="80"/>
      <c r="G27" s="80"/>
      <c r="H27" s="80"/>
    </row>
    <row r="28" customFormat="false" ht="15.75" hidden="false" customHeight="true" outlineLevel="0" collapsed="false">
      <c r="A28" s="79"/>
      <c r="B28" s="80"/>
      <c r="C28" s="54"/>
      <c r="D28" s="80"/>
      <c r="E28" s="80"/>
      <c r="F28" s="80"/>
      <c r="G28" s="80"/>
      <c r="H28" s="80"/>
    </row>
    <row r="29" customFormat="false" ht="15.75" hidden="false" customHeight="true" outlineLevel="0" collapsed="false">
      <c r="A29" s="67"/>
      <c r="B29" s="67"/>
      <c r="D29" s="67"/>
      <c r="E29" s="67"/>
      <c r="F29" s="67"/>
      <c r="G29" s="67"/>
      <c r="H29" s="67"/>
    </row>
    <row r="30" customFormat="false" ht="15.75" hidden="false" customHeight="true" outlineLevel="0" collapsed="false">
      <c r="A30" s="67"/>
      <c r="B30" s="67"/>
      <c r="D30" s="67"/>
      <c r="E30" s="67"/>
      <c r="F30" s="67"/>
      <c r="G30" s="67"/>
      <c r="H30" s="67"/>
    </row>
    <row r="31" customFormat="false" ht="15.75" hidden="false" customHeight="true" outlineLevel="0" collapsed="false">
      <c r="A31" s="67"/>
      <c r="B31" s="67"/>
      <c r="D31" s="67"/>
      <c r="E31" s="67"/>
      <c r="F31" s="67"/>
      <c r="G31" s="67"/>
      <c r="H31" s="67"/>
    </row>
    <row r="32" customFormat="false" ht="15.75" hidden="false" customHeight="true" outlineLevel="0" collapsed="false">
      <c r="A32" s="67"/>
      <c r="B32" s="67"/>
      <c r="D32" s="67"/>
      <c r="E32" s="67"/>
      <c r="F32" s="67"/>
      <c r="G32" s="67"/>
      <c r="H32" s="67"/>
    </row>
    <row r="33" customFormat="false" ht="15.75" hidden="false" customHeight="true" outlineLevel="0" collapsed="false">
      <c r="A33" s="67"/>
      <c r="B33" s="67"/>
      <c r="D33" s="67"/>
      <c r="E33" s="67"/>
      <c r="F33" s="67"/>
      <c r="G33" s="67"/>
      <c r="H33" s="67"/>
    </row>
    <row r="34" customFormat="false" ht="15.75" hidden="false" customHeight="true" outlineLevel="0" collapsed="false">
      <c r="A34" s="67"/>
      <c r="B34" s="67"/>
      <c r="D34" s="67"/>
      <c r="E34" s="67"/>
      <c r="F34" s="67"/>
      <c r="G34" s="67"/>
      <c r="H34" s="67"/>
    </row>
    <row r="35" customFormat="false" ht="15.75" hidden="false" customHeight="true" outlineLevel="0" collapsed="false">
      <c r="A35" s="67"/>
      <c r="B35" s="67"/>
      <c r="D35" s="67"/>
      <c r="E35" s="67"/>
      <c r="F35" s="67"/>
      <c r="G35" s="67"/>
      <c r="H35" s="67"/>
    </row>
    <row r="36" customFormat="false" ht="15.75" hidden="false" customHeight="true" outlineLevel="0" collapsed="false">
      <c r="A36" s="67"/>
      <c r="B36" s="67"/>
      <c r="D36" s="67"/>
      <c r="E36" s="67"/>
      <c r="F36" s="67"/>
      <c r="G36" s="67"/>
      <c r="H36" s="67"/>
    </row>
    <row r="37" customFormat="false" ht="15.75" hidden="false" customHeight="true" outlineLevel="0" collapsed="false">
      <c r="A37" s="67"/>
      <c r="B37" s="67"/>
      <c r="D37" s="67"/>
      <c r="E37" s="67"/>
      <c r="F37" s="67"/>
      <c r="G37" s="67"/>
      <c r="H37" s="67"/>
    </row>
    <row r="38" customFormat="false" ht="15.75" hidden="false" customHeight="true" outlineLevel="0" collapsed="false">
      <c r="A38" s="67"/>
      <c r="B38" s="67"/>
      <c r="D38" s="67"/>
      <c r="E38" s="67"/>
      <c r="F38" s="67"/>
      <c r="G38" s="67"/>
      <c r="H38" s="67"/>
    </row>
    <row r="39" customFormat="false" ht="15.75" hidden="false" customHeight="true" outlineLevel="0" collapsed="false">
      <c r="A39" s="67"/>
      <c r="B39" s="67"/>
      <c r="D39" s="67"/>
      <c r="E39" s="67"/>
      <c r="F39" s="67"/>
      <c r="G39" s="67"/>
      <c r="H39" s="67"/>
    </row>
    <row r="40" customFormat="false" ht="15.75" hidden="false" customHeight="true" outlineLevel="0" collapsed="false">
      <c r="A40" s="67"/>
      <c r="B40" s="67"/>
      <c r="D40" s="67"/>
      <c r="E40" s="67"/>
      <c r="F40" s="67"/>
      <c r="G40" s="67"/>
      <c r="H40" s="67"/>
    </row>
    <row r="41" customFormat="false" ht="15.75" hidden="false" customHeight="true" outlineLevel="0" collapsed="false">
      <c r="A41" s="67"/>
      <c r="B41" s="67"/>
      <c r="D41" s="67"/>
      <c r="E41" s="67"/>
      <c r="F41" s="67"/>
      <c r="G41" s="67"/>
      <c r="H41" s="67"/>
    </row>
    <row r="42" customFormat="false" ht="15.75" hidden="false" customHeight="true" outlineLevel="0" collapsed="false">
      <c r="A42" s="67"/>
      <c r="B42" s="67"/>
      <c r="D42" s="67"/>
      <c r="E42" s="67"/>
      <c r="F42" s="67"/>
      <c r="G42" s="67"/>
      <c r="H42" s="67"/>
    </row>
    <row r="43" customFormat="false" ht="15.75" hidden="false" customHeight="true" outlineLevel="0" collapsed="false">
      <c r="A43" s="67"/>
      <c r="B43" s="67"/>
      <c r="D43" s="67"/>
      <c r="E43" s="67"/>
      <c r="F43" s="67"/>
      <c r="G43" s="67"/>
      <c r="H43" s="67"/>
    </row>
    <row r="44" customFormat="false" ht="15.75" hidden="false" customHeight="true" outlineLevel="0" collapsed="false">
      <c r="A44" s="67"/>
      <c r="B44" s="67"/>
      <c r="D44" s="67"/>
      <c r="E44" s="67"/>
      <c r="F44" s="67"/>
      <c r="G44" s="67"/>
      <c r="H44" s="67"/>
    </row>
    <row r="45" customFormat="false" ht="15.75" hidden="false" customHeight="true" outlineLevel="0" collapsed="false">
      <c r="A45" s="67"/>
      <c r="B45" s="67"/>
      <c r="D45" s="67"/>
      <c r="E45" s="67"/>
      <c r="F45" s="67"/>
      <c r="G45" s="67"/>
      <c r="H45" s="67"/>
    </row>
    <row r="46" customFormat="false" ht="15.75" hidden="false" customHeight="true" outlineLevel="0" collapsed="false">
      <c r="A46" s="67"/>
      <c r="B46" s="67"/>
      <c r="D46" s="67"/>
      <c r="E46" s="67"/>
      <c r="F46" s="67"/>
      <c r="G46" s="67"/>
      <c r="H46" s="67"/>
    </row>
    <row r="47" customFormat="false" ht="15.75" hidden="false" customHeight="true" outlineLevel="0" collapsed="false">
      <c r="A47" s="67"/>
      <c r="B47" s="67"/>
      <c r="D47" s="67"/>
      <c r="E47" s="67"/>
      <c r="F47" s="67"/>
      <c r="G47" s="67"/>
      <c r="H47" s="67"/>
    </row>
    <row r="48" customFormat="false" ht="15.75" hidden="false" customHeight="true" outlineLevel="0" collapsed="false">
      <c r="A48" s="67"/>
      <c r="B48" s="67"/>
      <c r="D48" s="67"/>
      <c r="E48" s="67"/>
      <c r="F48" s="67"/>
      <c r="G48" s="67"/>
      <c r="H48" s="67"/>
    </row>
    <row r="49" customFormat="false" ht="15.75" hidden="false" customHeight="true" outlineLevel="0" collapsed="false">
      <c r="A49" s="67"/>
      <c r="B49" s="67"/>
      <c r="D49" s="67"/>
      <c r="E49" s="67"/>
      <c r="F49" s="67"/>
      <c r="G49" s="67"/>
      <c r="H49" s="67"/>
    </row>
    <row r="50" customFormat="false" ht="15.75" hidden="false" customHeight="true" outlineLevel="0" collapsed="false">
      <c r="A50" s="67"/>
      <c r="B50" s="67"/>
      <c r="D50" s="67"/>
      <c r="E50" s="67"/>
      <c r="F50" s="67"/>
      <c r="G50" s="67"/>
      <c r="H50" s="67"/>
    </row>
    <row r="51" customFormat="false" ht="15.75" hidden="false" customHeight="true" outlineLevel="0" collapsed="false">
      <c r="A51" s="67"/>
      <c r="B51" s="67"/>
      <c r="D51" s="67"/>
      <c r="E51" s="67"/>
      <c r="F51" s="67"/>
      <c r="G51" s="67"/>
      <c r="H51" s="67"/>
    </row>
    <row r="52" customFormat="false" ht="15.75" hidden="false" customHeight="true" outlineLevel="0" collapsed="false">
      <c r="A52" s="67"/>
      <c r="B52" s="67"/>
      <c r="D52" s="67"/>
      <c r="E52" s="67"/>
      <c r="F52" s="67"/>
      <c r="G52" s="67"/>
      <c r="H52" s="67"/>
    </row>
    <row r="53" customFormat="false" ht="15.75" hidden="false" customHeight="true" outlineLevel="0" collapsed="false">
      <c r="A53" s="67"/>
      <c r="B53" s="67"/>
      <c r="D53" s="67"/>
      <c r="E53" s="67"/>
      <c r="F53" s="67"/>
      <c r="G53" s="67"/>
      <c r="H53" s="67"/>
    </row>
    <row r="54" customFormat="false" ht="15.75" hidden="false" customHeight="true" outlineLevel="0" collapsed="false">
      <c r="A54" s="67"/>
      <c r="B54" s="67"/>
      <c r="D54" s="67"/>
      <c r="E54" s="67"/>
      <c r="F54" s="67"/>
      <c r="G54" s="67"/>
      <c r="H54" s="67"/>
    </row>
    <row r="55" customFormat="false" ht="15.75" hidden="false" customHeight="true" outlineLevel="0" collapsed="false">
      <c r="A55" s="67"/>
      <c r="B55" s="67"/>
      <c r="D55" s="67"/>
      <c r="E55" s="67"/>
      <c r="F55" s="67"/>
      <c r="G55" s="67"/>
      <c r="H55" s="67"/>
    </row>
    <row r="56" customFormat="false" ht="15.75" hidden="false" customHeight="true" outlineLevel="0" collapsed="false">
      <c r="A56" s="67"/>
      <c r="B56" s="67"/>
      <c r="D56" s="67"/>
      <c r="E56" s="67"/>
      <c r="F56" s="67"/>
      <c r="G56" s="67"/>
      <c r="H56" s="67"/>
    </row>
    <row r="57" customFormat="false" ht="15.75" hidden="false" customHeight="true" outlineLevel="0" collapsed="false">
      <c r="A57" s="67"/>
      <c r="B57" s="67"/>
      <c r="D57" s="67"/>
      <c r="E57" s="67"/>
      <c r="F57" s="67"/>
      <c r="G57" s="67"/>
      <c r="H57" s="67"/>
    </row>
    <row r="58" customFormat="false" ht="15.75" hidden="false" customHeight="true" outlineLevel="0" collapsed="false">
      <c r="A58" s="67"/>
      <c r="B58" s="67"/>
      <c r="D58" s="67"/>
      <c r="E58" s="67"/>
      <c r="F58" s="67"/>
      <c r="G58" s="67"/>
      <c r="H58" s="67"/>
    </row>
    <row r="59" customFormat="false" ht="15.75" hidden="false" customHeight="true" outlineLevel="0" collapsed="false">
      <c r="A59" s="67"/>
      <c r="B59" s="67"/>
      <c r="D59" s="67"/>
      <c r="E59" s="67"/>
      <c r="F59" s="67"/>
      <c r="G59" s="67"/>
      <c r="H59" s="67"/>
    </row>
    <row r="60" customFormat="false" ht="15.75" hidden="false" customHeight="true" outlineLevel="0" collapsed="false">
      <c r="A60" s="67"/>
      <c r="B60" s="67"/>
      <c r="D60" s="67"/>
      <c r="E60" s="67"/>
      <c r="F60" s="67"/>
      <c r="G60" s="67"/>
      <c r="H60" s="67"/>
    </row>
    <row r="61" customFormat="false" ht="15.75" hidden="false" customHeight="true" outlineLevel="0" collapsed="false">
      <c r="A61" s="67"/>
      <c r="B61" s="67"/>
      <c r="D61" s="67"/>
      <c r="E61" s="67"/>
      <c r="F61" s="67"/>
      <c r="G61" s="67"/>
      <c r="H61" s="67"/>
    </row>
    <row r="62" customFormat="false" ht="15.75" hidden="false" customHeight="true" outlineLevel="0" collapsed="false">
      <c r="A62" s="67"/>
      <c r="B62" s="67"/>
      <c r="D62" s="67"/>
      <c r="E62" s="67"/>
      <c r="F62" s="67"/>
      <c r="G62" s="67"/>
      <c r="H62" s="67"/>
    </row>
    <row r="63" customFormat="false" ht="15.75" hidden="false" customHeight="true" outlineLevel="0" collapsed="false">
      <c r="A63" s="67"/>
      <c r="B63" s="67"/>
      <c r="D63" s="67"/>
      <c r="E63" s="67"/>
      <c r="F63" s="67"/>
      <c r="G63" s="67"/>
      <c r="H63" s="67"/>
    </row>
    <row r="64" customFormat="false" ht="15.75" hidden="false" customHeight="true" outlineLevel="0" collapsed="false">
      <c r="A64" s="67"/>
      <c r="B64" s="67"/>
      <c r="D64" s="67"/>
      <c r="E64" s="67"/>
      <c r="F64" s="67"/>
      <c r="G64" s="67"/>
      <c r="H64" s="67"/>
    </row>
    <row r="65" customFormat="false" ht="15.75" hidden="false" customHeight="true" outlineLevel="0" collapsed="false">
      <c r="A65" s="67"/>
      <c r="B65" s="67"/>
      <c r="D65" s="67"/>
      <c r="E65" s="67"/>
      <c r="F65" s="67"/>
      <c r="G65" s="67"/>
      <c r="H65" s="67"/>
    </row>
    <row r="66" customFormat="false" ht="15.75" hidden="false" customHeight="true" outlineLevel="0" collapsed="false">
      <c r="A66" s="67"/>
      <c r="B66" s="67"/>
      <c r="D66" s="67"/>
      <c r="E66" s="67"/>
      <c r="F66" s="67"/>
      <c r="G66" s="67"/>
      <c r="H66" s="67"/>
    </row>
    <row r="67" customFormat="false" ht="15.75" hidden="false" customHeight="true" outlineLevel="0" collapsed="false">
      <c r="A67" s="67"/>
      <c r="B67" s="67"/>
      <c r="D67" s="67"/>
      <c r="E67" s="67"/>
      <c r="F67" s="67"/>
      <c r="G67" s="67"/>
      <c r="H67" s="67"/>
    </row>
    <row r="68" customFormat="false" ht="15.75" hidden="false" customHeight="true" outlineLevel="0" collapsed="false">
      <c r="A68" s="67"/>
      <c r="B68" s="67"/>
      <c r="D68" s="67"/>
      <c r="E68" s="67"/>
      <c r="F68" s="67"/>
      <c r="G68" s="67"/>
      <c r="H68" s="67"/>
    </row>
    <row r="69" customFormat="false" ht="15.75" hidden="false" customHeight="true" outlineLevel="0" collapsed="false">
      <c r="A69" s="67"/>
      <c r="B69" s="67"/>
      <c r="D69" s="67"/>
      <c r="E69" s="67"/>
      <c r="F69" s="67"/>
      <c r="G69" s="67"/>
      <c r="H69" s="67"/>
    </row>
    <row r="70" customFormat="false" ht="15.75" hidden="false" customHeight="true" outlineLevel="0" collapsed="false">
      <c r="A70" s="67"/>
      <c r="B70" s="67"/>
      <c r="D70" s="67"/>
      <c r="E70" s="67"/>
      <c r="F70" s="67"/>
      <c r="G70" s="67"/>
      <c r="H70" s="67"/>
    </row>
    <row r="71" customFormat="false" ht="15.75" hidden="false" customHeight="true" outlineLevel="0" collapsed="false">
      <c r="A71" s="67"/>
      <c r="B71" s="67"/>
      <c r="D71" s="67"/>
      <c r="E71" s="67"/>
      <c r="F71" s="67"/>
      <c r="G71" s="67"/>
      <c r="H71" s="67"/>
    </row>
    <row r="72" customFormat="false" ht="15.75" hidden="false" customHeight="true" outlineLevel="0" collapsed="false">
      <c r="A72" s="67"/>
      <c r="B72" s="67"/>
      <c r="D72" s="67"/>
      <c r="E72" s="67"/>
      <c r="F72" s="67"/>
      <c r="G72" s="67"/>
      <c r="H72" s="67"/>
    </row>
    <row r="73" customFormat="false" ht="15.75" hidden="false" customHeight="true" outlineLevel="0" collapsed="false">
      <c r="A73" s="67"/>
      <c r="B73" s="67"/>
      <c r="D73" s="67"/>
      <c r="E73" s="67"/>
      <c r="F73" s="67"/>
      <c r="G73" s="67"/>
      <c r="H73" s="67"/>
    </row>
    <row r="74" customFormat="false" ht="15.75" hidden="false" customHeight="true" outlineLevel="0" collapsed="false">
      <c r="A74" s="67"/>
      <c r="B74" s="67"/>
      <c r="D74" s="67"/>
      <c r="E74" s="67"/>
      <c r="F74" s="67"/>
      <c r="G74" s="67"/>
      <c r="H74" s="67"/>
    </row>
    <row r="75" customFormat="false" ht="15.75" hidden="false" customHeight="true" outlineLevel="0" collapsed="false">
      <c r="A75" s="67"/>
      <c r="B75" s="67"/>
      <c r="D75" s="67"/>
      <c r="E75" s="67"/>
      <c r="F75" s="67"/>
      <c r="G75" s="67"/>
      <c r="H75" s="67"/>
    </row>
    <row r="76" customFormat="false" ht="15.75" hidden="false" customHeight="true" outlineLevel="0" collapsed="false">
      <c r="A76" s="67"/>
      <c r="B76" s="67"/>
      <c r="D76" s="67"/>
      <c r="E76" s="67"/>
      <c r="F76" s="67"/>
      <c r="G76" s="67"/>
      <c r="H76" s="67"/>
    </row>
    <row r="77" customFormat="false" ht="15.75" hidden="false" customHeight="true" outlineLevel="0" collapsed="false">
      <c r="A77" s="67"/>
      <c r="B77" s="67"/>
      <c r="D77" s="67"/>
      <c r="E77" s="67"/>
      <c r="F77" s="67"/>
      <c r="G77" s="67"/>
      <c r="H77" s="67"/>
    </row>
    <row r="78" customFormat="false" ht="15.75" hidden="false" customHeight="true" outlineLevel="0" collapsed="false">
      <c r="A78" s="67"/>
      <c r="B78" s="67"/>
      <c r="D78" s="67"/>
      <c r="E78" s="67"/>
      <c r="F78" s="67"/>
      <c r="G78" s="67"/>
      <c r="H78" s="67"/>
    </row>
    <row r="79" customFormat="false" ht="15.75" hidden="false" customHeight="true" outlineLevel="0" collapsed="false">
      <c r="A79" s="67"/>
      <c r="B79" s="67"/>
      <c r="D79" s="67"/>
      <c r="E79" s="67"/>
      <c r="F79" s="67"/>
      <c r="G79" s="67"/>
      <c r="H79" s="67"/>
    </row>
    <row r="80" customFormat="false" ht="15.75" hidden="false" customHeight="true" outlineLevel="0" collapsed="false">
      <c r="A80" s="67"/>
      <c r="B80" s="67"/>
      <c r="D80" s="67"/>
      <c r="E80" s="67"/>
      <c r="F80" s="67"/>
      <c r="G80" s="67"/>
      <c r="H80" s="67"/>
    </row>
    <row r="81" customFormat="false" ht="15.75" hidden="false" customHeight="true" outlineLevel="0" collapsed="false">
      <c r="A81" s="67"/>
      <c r="B81" s="67"/>
      <c r="D81" s="67"/>
      <c r="E81" s="67"/>
      <c r="F81" s="67"/>
      <c r="G81" s="67"/>
      <c r="H81" s="67"/>
    </row>
    <row r="82" customFormat="false" ht="15.75" hidden="false" customHeight="true" outlineLevel="0" collapsed="false">
      <c r="A82" s="67"/>
      <c r="B82" s="67"/>
      <c r="D82" s="67"/>
      <c r="E82" s="67"/>
      <c r="F82" s="67"/>
      <c r="G82" s="67"/>
      <c r="H82" s="67"/>
    </row>
    <row r="83" customFormat="false" ht="15.75" hidden="false" customHeight="true" outlineLevel="0" collapsed="false">
      <c r="A83" s="67"/>
      <c r="B83" s="67"/>
      <c r="D83" s="67"/>
      <c r="E83" s="67"/>
      <c r="F83" s="67"/>
      <c r="G83" s="67"/>
      <c r="H83" s="67"/>
    </row>
    <row r="84" customFormat="false" ht="15.75" hidden="false" customHeight="true" outlineLevel="0" collapsed="false">
      <c r="A84" s="67"/>
      <c r="B84" s="67"/>
      <c r="D84" s="67"/>
      <c r="E84" s="67"/>
      <c r="F84" s="67"/>
      <c r="G84" s="67"/>
      <c r="H84" s="67"/>
    </row>
    <row r="85" customFormat="false" ht="15.75" hidden="false" customHeight="true" outlineLevel="0" collapsed="false">
      <c r="A85" s="67"/>
      <c r="B85" s="67"/>
      <c r="D85" s="67"/>
      <c r="E85" s="67"/>
      <c r="F85" s="67"/>
      <c r="G85" s="67"/>
      <c r="H85" s="67"/>
    </row>
    <row r="86" customFormat="false" ht="15.75" hidden="false" customHeight="true" outlineLevel="0" collapsed="false">
      <c r="A86" s="67"/>
      <c r="B86" s="67"/>
      <c r="D86" s="67"/>
      <c r="E86" s="67"/>
      <c r="F86" s="67"/>
      <c r="G86" s="67"/>
      <c r="H86" s="67"/>
    </row>
    <row r="87" customFormat="false" ht="15.75" hidden="false" customHeight="true" outlineLevel="0" collapsed="false">
      <c r="A87" s="67"/>
      <c r="B87" s="67"/>
      <c r="D87" s="67"/>
      <c r="E87" s="67"/>
      <c r="F87" s="67"/>
      <c r="G87" s="67"/>
      <c r="H87" s="67"/>
    </row>
    <row r="88" customFormat="false" ht="15.75" hidden="false" customHeight="true" outlineLevel="0" collapsed="false">
      <c r="A88" s="67"/>
      <c r="B88" s="67"/>
      <c r="D88" s="67"/>
      <c r="E88" s="67"/>
      <c r="F88" s="67"/>
      <c r="G88" s="67"/>
      <c r="H88" s="67"/>
    </row>
    <row r="89" customFormat="false" ht="15.75" hidden="false" customHeight="true" outlineLevel="0" collapsed="false">
      <c r="A89" s="67"/>
      <c r="B89" s="67"/>
      <c r="D89" s="67"/>
      <c r="E89" s="67"/>
      <c r="F89" s="67"/>
      <c r="G89" s="67"/>
      <c r="H89" s="67"/>
    </row>
    <row r="90" customFormat="false" ht="15.75" hidden="false" customHeight="true" outlineLevel="0" collapsed="false">
      <c r="A90" s="67"/>
      <c r="B90" s="67"/>
      <c r="D90" s="67"/>
      <c r="E90" s="67"/>
      <c r="F90" s="67"/>
      <c r="G90" s="67"/>
      <c r="H90" s="67"/>
    </row>
    <row r="91" customFormat="false" ht="15.75" hidden="false" customHeight="true" outlineLevel="0" collapsed="false">
      <c r="A91" s="67"/>
      <c r="B91" s="67"/>
      <c r="D91" s="67"/>
      <c r="E91" s="67"/>
      <c r="F91" s="67"/>
      <c r="G91" s="67"/>
      <c r="H91" s="67"/>
    </row>
    <row r="92" customFormat="false" ht="15.75" hidden="false" customHeight="true" outlineLevel="0" collapsed="false">
      <c r="A92" s="67"/>
      <c r="B92" s="67"/>
      <c r="D92" s="67"/>
      <c r="E92" s="67"/>
      <c r="F92" s="67"/>
      <c r="G92" s="67"/>
      <c r="H92" s="67"/>
    </row>
    <row r="93" customFormat="false" ht="15.75" hidden="false" customHeight="true" outlineLevel="0" collapsed="false">
      <c r="A93" s="67"/>
      <c r="B93" s="67"/>
      <c r="D93" s="67"/>
      <c r="E93" s="67"/>
      <c r="F93" s="67"/>
      <c r="G93" s="67"/>
      <c r="H93" s="67"/>
    </row>
    <row r="94" customFormat="false" ht="15.75" hidden="false" customHeight="true" outlineLevel="0" collapsed="false">
      <c r="A94" s="67"/>
      <c r="B94" s="67"/>
      <c r="D94" s="67"/>
      <c r="E94" s="67"/>
      <c r="F94" s="67"/>
      <c r="G94" s="67"/>
      <c r="H94" s="67"/>
    </row>
    <row r="95" customFormat="false" ht="15.75" hidden="false" customHeight="true" outlineLevel="0" collapsed="false">
      <c r="A95" s="67"/>
      <c r="B95" s="67"/>
      <c r="D95" s="67"/>
      <c r="E95" s="67"/>
      <c r="F95" s="67"/>
      <c r="G95" s="67"/>
      <c r="H95" s="67"/>
    </row>
    <row r="96" customFormat="false" ht="15.75" hidden="false" customHeight="true" outlineLevel="0" collapsed="false">
      <c r="A96" s="67"/>
      <c r="B96" s="67"/>
      <c r="D96" s="67"/>
      <c r="E96" s="67"/>
      <c r="F96" s="67"/>
      <c r="G96" s="67"/>
      <c r="H96" s="67"/>
    </row>
    <row r="97" customFormat="false" ht="15.75" hidden="false" customHeight="true" outlineLevel="0" collapsed="false">
      <c r="A97" s="67"/>
      <c r="B97" s="67"/>
      <c r="D97" s="67"/>
      <c r="E97" s="67"/>
      <c r="F97" s="67"/>
      <c r="G97" s="67"/>
      <c r="H97" s="67"/>
    </row>
    <row r="98" customFormat="false" ht="15.75" hidden="false" customHeight="true" outlineLevel="0" collapsed="false">
      <c r="A98" s="67"/>
      <c r="B98" s="67"/>
      <c r="D98" s="67"/>
      <c r="E98" s="67"/>
      <c r="F98" s="67"/>
      <c r="G98" s="67"/>
      <c r="H98" s="67"/>
    </row>
    <row r="99" customFormat="false" ht="15.75" hidden="false" customHeight="true" outlineLevel="0" collapsed="false">
      <c r="A99" s="67"/>
      <c r="B99" s="67"/>
      <c r="D99" s="67"/>
      <c r="E99" s="67"/>
      <c r="F99" s="67"/>
      <c r="G99" s="67"/>
      <c r="H99" s="67"/>
    </row>
    <row r="100" customFormat="false" ht="15.75" hidden="false" customHeight="true" outlineLevel="0" collapsed="false">
      <c r="A100" s="67"/>
      <c r="B100" s="67"/>
      <c r="D100" s="67"/>
      <c r="E100" s="67"/>
      <c r="F100" s="67"/>
      <c r="G100" s="67"/>
      <c r="H100" s="67"/>
    </row>
    <row r="101" customFormat="false" ht="15.75" hidden="false" customHeight="true" outlineLevel="0" collapsed="false">
      <c r="A101" s="67"/>
      <c r="B101" s="67"/>
      <c r="D101" s="67"/>
      <c r="E101" s="67"/>
      <c r="F101" s="67"/>
      <c r="G101" s="67"/>
      <c r="H101" s="67"/>
    </row>
    <row r="102" customFormat="false" ht="15.75" hidden="false" customHeight="true" outlineLevel="0" collapsed="false">
      <c r="A102" s="67"/>
      <c r="B102" s="67"/>
      <c r="D102" s="67"/>
      <c r="E102" s="67"/>
      <c r="F102" s="67"/>
      <c r="G102" s="67"/>
      <c r="H102" s="67"/>
    </row>
    <row r="103" customFormat="false" ht="15.75" hidden="false" customHeight="true" outlineLevel="0" collapsed="false">
      <c r="A103" s="67"/>
      <c r="B103" s="67"/>
      <c r="D103" s="67"/>
      <c r="E103" s="67"/>
      <c r="F103" s="67"/>
      <c r="G103" s="67"/>
      <c r="H103" s="67"/>
    </row>
    <row r="104" customFormat="false" ht="15.75" hidden="false" customHeight="true" outlineLevel="0" collapsed="false">
      <c r="A104" s="67"/>
      <c r="B104" s="67"/>
      <c r="D104" s="67"/>
      <c r="E104" s="67"/>
      <c r="F104" s="67"/>
      <c r="G104" s="67"/>
      <c r="H104" s="67"/>
    </row>
    <row r="105" customFormat="false" ht="15.75" hidden="false" customHeight="true" outlineLevel="0" collapsed="false">
      <c r="A105" s="67"/>
      <c r="B105" s="67"/>
      <c r="D105" s="67"/>
      <c r="E105" s="67"/>
      <c r="F105" s="67"/>
      <c r="G105" s="67"/>
      <c r="H105" s="67"/>
    </row>
    <row r="106" customFormat="false" ht="15.75" hidden="false" customHeight="true" outlineLevel="0" collapsed="false">
      <c r="A106" s="67"/>
      <c r="B106" s="67"/>
      <c r="D106" s="67"/>
      <c r="E106" s="67"/>
      <c r="F106" s="67"/>
      <c r="G106" s="67"/>
      <c r="H106" s="67"/>
    </row>
    <row r="107" customFormat="false" ht="15.75" hidden="false" customHeight="true" outlineLevel="0" collapsed="false">
      <c r="A107" s="67"/>
      <c r="B107" s="67"/>
      <c r="D107" s="67"/>
      <c r="E107" s="67"/>
      <c r="F107" s="67"/>
      <c r="G107" s="67"/>
      <c r="H107" s="67"/>
    </row>
    <row r="108" customFormat="false" ht="15.75" hidden="false" customHeight="true" outlineLevel="0" collapsed="false">
      <c r="A108" s="67"/>
      <c r="B108" s="67"/>
      <c r="D108" s="67"/>
      <c r="E108" s="67"/>
      <c r="F108" s="67"/>
      <c r="G108" s="67"/>
      <c r="H108" s="67"/>
    </row>
    <row r="109" customFormat="false" ht="15.75" hidden="false" customHeight="true" outlineLevel="0" collapsed="false">
      <c r="A109" s="67"/>
      <c r="B109" s="67"/>
      <c r="D109" s="67"/>
      <c r="E109" s="67"/>
      <c r="F109" s="67"/>
      <c r="G109" s="67"/>
      <c r="H109" s="67"/>
    </row>
    <row r="110" customFormat="false" ht="15.75" hidden="false" customHeight="true" outlineLevel="0" collapsed="false">
      <c r="A110" s="67"/>
      <c r="B110" s="67"/>
      <c r="D110" s="67"/>
      <c r="E110" s="67"/>
      <c r="F110" s="67"/>
      <c r="G110" s="67"/>
      <c r="H110" s="67"/>
    </row>
    <row r="111" customFormat="false" ht="15.75" hidden="false" customHeight="true" outlineLevel="0" collapsed="false">
      <c r="A111" s="67"/>
      <c r="B111" s="67"/>
      <c r="D111" s="67"/>
      <c r="E111" s="67"/>
      <c r="F111" s="67"/>
      <c r="G111" s="67"/>
      <c r="H111" s="67"/>
    </row>
    <row r="112" customFormat="false" ht="15.75" hidden="false" customHeight="true" outlineLevel="0" collapsed="false">
      <c r="A112" s="67"/>
      <c r="B112" s="67"/>
      <c r="D112" s="67"/>
      <c r="E112" s="67"/>
      <c r="F112" s="67"/>
      <c r="G112" s="67"/>
      <c r="H112" s="67"/>
    </row>
    <row r="113" customFormat="false" ht="15.75" hidden="false" customHeight="true" outlineLevel="0" collapsed="false">
      <c r="A113" s="67"/>
      <c r="B113" s="67"/>
      <c r="D113" s="67"/>
      <c r="E113" s="67"/>
      <c r="F113" s="67"/>
      <c r="G113" s="67"/>
      <c r="H113" s="67"/>
    </row>
    <row r="114" customFormat="false" ht="15.75" hidden="false" customHeight="true" outlineLevel="0" collapsed="false">
      <c r="A114" s="67"/>
      <c r="B114" s="67"/>
      <c r="D114" s="67"/>
      <c r="E114" s="67"/>
      <c r="F114" s="67"/>
      <c r="G114" s="67"/>
      <c r="H114" s="67"/>
    </row>
    <row r="115" customFormat="false" ht="15.75" hidden="false" customHeight="true" outlineLevel="0" collapsed="false">
      <c r="A115" s="67"/>
      <c r="B115" s="67"/>
      <c r="D115" s="67"/>
      <c r="E115" s="67"/>
      <c r="F115" s="67"/>
      <c r="G115" s="67"/>
      <c r="H115" s="67"/>
    </row>
    <row r="116" customFormat="false" ht="15.75" hidden="false" customHeight="true" outlineLevel="0" collapsed="false">
      <c r="A116" s="67"/>
      <c r="B116" s="67"/>
      <c r="D116" s="67"/>
      <c r="E116" s="67"/>
      <c r="F116" s="67"/>
      <c r="G116" s="67"/>
      <c r="H116" s="67"/>
    </row>
    <row r="117" customFormat="false" ht="15.75" hidden="false" customHeight="true" outlineLevel="0" collapsed="false">
      <c r="A117" s="67"/>
      <c r="B117" s="67"/>
      <c r="D117" s="67"/>
      <c r="E117" s="67"/>
      <c r="F117" s="67"/>
      <c r="G117" s="67"/>
      <c r="H117" s="67"/>
    </row>
    <row r="118" customFormat="false" ht="15.75" hidden="false" customHeight="true" outlineLevel="0" collapsed="false">
      <c r="A118" s="67"/>
      <c r="B118" s="67"/>
      <c r="D118" s="67"/>
      <c r="E118" s="67"/>
      <c r="F118" s="67"/>
      <c r="G118" s="67"/>
      <c r="H118" s="67"/>
    </row>
    <row r="119" customFormat="false" ht="15.75" hidden="false" customHeight="true" outlineLevel="0" collapsed="false">
      <c r="A119" s="67"/>
      <c r="B119" s="67"/>
      <c r="D119" s="67"/>
      <c r="E119" s="67"/>
      <c r="F119" s="67"/>
      <c r="G119" s="67"/>
      <c r="H119" s="67"/>
    </row>
    <row r="120" customFormat="false" ht="15.75" hidden="false" customHeight="true" outlineLevel="0" collapsed="false">
      <c r="A120" s="67"/>
      <c r="B120" s="67"/>
      <c r="D120" s="67"/>
      <c r="E120" s="67"/>
      <c r="F120" s="67"/>
      <c r="G120" s="67"/>
      <c r="H120" s="67"/>
    </row>
    <row r="121" customFormat="false" ht="15.75" hidden="false" customHeight="true" outlineLevel="0" collapsed="false">
      <c r="A121" s="67"/>
      <c r="B121" s="67"/>
      <c r="D121" s="67"/>
      <c r="E121" s="67"/>
      <c r="F121" s="67"/>
      <c r="G121" s="67"/>
      <c r="H121" s="67"/>
    </row>
    <row r="122" customFormat="false" ht="15.75" hidden="false" customHeight="true" outlineLevel="0" collapsed="false">
      <c r="A122" s="67"/>
      <c r="B122" s="67"/>
      <c r="D122" s="67"/>
      <c r="E122" s="67"/>
      <c r="F122" s="67"/>
      <c r="G122" s="67"/>
      <c r="H122" s="67"/>
    </row>
    <row r="123" customFormat="false" ht="15.75" hidden="false" customHeight="true" outlineLevel="0" collapsed="false">
      <c r="A123" s="67"/>
      <c r="B123" s="67"/>
      <c r="D123" s="67"/>
      <c r="E123" s="67"/>
      <c r="F123" s="67"/>
      <c r="G123" s="67"/>
      <c r="H123" s="67"/>
    </row>
    <row r="124" customFormat="false" ht="15.75" hidden="false" customHeight="true" outlineLevel="0" collapsed="false">
      <c r="A124" s="67"/>
      <c r="B124" s="67"/>
      <c r="D124" s="67"/>
      <c r="E124" s="67"/>
      <c r="F124" s="67"/>
      <c r="G124" s="67"/>
      <c r="H124" s="67"/>
    </row>
    <row r="125" customFormat="false" ht="15.75" hidden="false" customHeight="true" outlineLevel="0" collapsed="false">
      <c r="A125" s="67"/>
      <c r="B125" s="67"/>
      <c r="D125" s="67"/>
      <c r="E125" s="67"/>
      <c r="F125" s="67"/>
      <c r="G125" s="67"/>
      <c r="H125" s="67"/>
    </row>
    <row r="126" customFormat="false" ht="15.75" hidden="false" customHeight="true" outlineLevel="0" collapsed="false">
      <c r="A126" s="67"/>
      <c r="B126" s="67"/>
      <c r="D126" s="67"/>
      <c r="E126" s="67"/>
      <c r="F126" s="67"/>
      <c r="G126" s="67"/>
      <c r="H126" s="67"/>
    </row>
    <row r="127" customFormat="false" ht="15.75" hidden="false" customHeight="true" outlineLevel="0" collapsed="false">
      <c r="A127" s="67"/>
      <c r="B127" s="67"/>
      <c r="D127" s="67"/>
      <c r="E127" s="67"/>
      <c r="F127" s="67"/>
      <c r="G127" s="67"/>
      <c r="H127" s="67"/>
    </row>
    <row r="128" customFormat="false" ht="15.75" hidden="false" customHeight="true" outlineLevel="0" collapsed="false">
      <c r="A128" s="67"/>
      <c r="B128" s="67"/>
      <c r="D128" s="67"/>
      <c r="E128" s="67"/>
      <c r="F128" s="67"/>
      <c r="G128" s="67"/>
      <c r="H128" s="67"/>
    </row>
    <row r="129" customFormat="false" ht="15.75" hidden="false" customHeight="true" outlineLevel="0" collapsed="false">
      <c r="A129" s="67"/>
      <c r="B129" s="67"/>
      <c r="D129" s="67"/>
      <c r="E129" s="67"/>
      <c r="F129" s="67"/>
      <c r="G129" s="67"/>
      <c r="H129" s="67"/>
    </row>
    <row r="130" customFormat="false" ht="15.75" hidden="false" customHeight="true" outlineLevel="0" collapsed="false">
      <c r="A130" s="67"/>
      <c r="B130" s="67"/>
      <c r="D130" s="67"/>
      <c r="E130" s="67"/>
      <c r="F130" s="67"/>
      <c r="G130" s="67"/>
      <c r="H130" s="67"/>
    </row>
    <row r="131" customFormat="false" ht="15.75" hidden="false" customHeight="true" outlineLevel="0" collapsed="false">
      <c r="A131" s="67"/>
      <c r="B131" s="67"/>
      <c r="D131" s="67"/>
      <c r="E131" s="67"/>
      <c r="F131" s="67"/>
      <c r="G131" s="67"/>
      <c r="H131" s="67"/>
    </row>
    <row r="132" customFormat="false" ht="15.75" hidden="false" customHeight="true" outlineLevel="0" collapsed="false">
      <c r="A132" s="67"/>
      <c r="B132" s="67"/>
      <c r="D132" s="67"/>
      <c r="E132" s="67"/>
      <c r="F132" s="67"/>
      <c r="G132" s="67"/>
      <c r="H132" s="67"/>
    </row>
    <row r="133" customFormat="false" ht="15.75" hidden="false" customHeight="true" outlineLevel="0" collapsed="false">
      <c r="A133" s="67"/>
      <c r="B133" s="67"/>
      <c r="D133" s="67"/>
      <c r="E133" s="67"/>
      <c r="F133" s="67"/>
      <c r="G133" s="67"/>
      <c r="H133" s="67"/>
    </row>
    <row r="134" customFormat="false" ht="15.75" hidden="false" customHeight="true" outlineLevel="0" collapsed="false">
      <c r="A134" s="67"/>
      <c r="B134" s="67"/>
      <c r="D134" s="67"/>
      <c r="E134" s="67"/>
      <c r="F134" s="67"/>
      <c r="G134" s="67"/>
      <c r="H134" s="67"/>
    </row>
    <row r="135" customFormat="false" ht="15.75" hidden="false" customHeight="true" outlineLevel="0" collapsed="false">
      <c r="A135" s="67"/>
      <c r="B135" s="67"/>
      <c r="D135" s="67"/>
      <c r="E135" s="67"/>
      <c r="F135" s="67"/>
      <c r="G135" s="67"/>
      <c r="H135" s="67"/>
    </row>
    <row r="136" customFormat="false" ht="15.75" hidden="false" customHeight="true" outlineLevel="0" collapsed="false">
      <c r="A136" s="67"/>
      <c r="B136" s="67"/>
      <c r="D136" s="67"/>
      <c r="E136" s="67"/>
      <c r="F136" s="67"/>
      <c r="G136" s="67"/>
      <c r="H136" s="67"/>
    </row>
    <row r="137" customFormat="false" ht="15.75" hidden="false" customHeight="true" outlineLevel="0" collapsed="false">
      <c r="A137" s="67"/>
      <c r="B137" s="67"/>
      <c r="D137" s="67"/>
      <c r="E137" s="67"/>
      <c r="F137" s="67"/>
      <c r="G137" s="67"/>
      <c r="H137" s="67"/>
    </row>
    <row r="138" customFormat="false" ht="15.75" hidden="false" customHeight="true" outlineLevel="0" collapsed="false">
      <c r="A138" s="67"/>
      <c r="B138" s="67"/>
      <c r="D138" s="67"/>
      <c r="E138" s="67"/>
      <c r="F138" s="67"/>
      <c r="G138" s="67"/>
      <c r="H138" s="67"/>
    </row>
    <row r="139" customFormat="false" ht="15.75" hidden="false" customHeight="true" outlineLevel="0" collapsed="false">
      <c r="A139" s="67"/>
      <c r="B139" s="67"/>
      <c r="D139" s="67"/>
      <c r="E139" s="67"/>
      <c r="F139" s="67"/>
      <c r="G139" s="67"/>
      <c r="H139" s="67"/>
    </row>
    <row r="140" customFormat="false" ht="15.75" hidden="false" customHeight="true" outlineLevel="0" collapsed="false">
      <c r="A140" s="67"/>
      <c r="B140" s="67"/>
      <c r="D140" s="67"/>
      <c r="E140" s="67"/>
      <c r="F140" s="67"/>
      <c r="G140" s="67"/>
      <c r="H140" s="67"/>
    </row>
    <row r="141" customFormat="false" ht="15.75" hidden="false" customHeight="true" outlineLevel="0" collapsed="false">
      <c r="A141" s="67"/>
      <c r="B141" s="67"/>
      <c r="D141" s="67"/>
      <c r="E141" s="67"/>
      <c r="F141" s="67"/>
      <c r="G141" s="67"/>
      <c r="H141" s="67"/>
    </row>
    <row r="142" customFormat="false" ht="15.75" hidden="false" customHeight="true" outlineLevel="0" collapsed="false">
      <c r="A142" s="67"/>
      <c r="B142" s="67"/>
      <c r="D142" s="67"/>
      <c r="E142" s="67"/>
      <c r="F142" s="67"/>
      <c r="G142" s="67"/>
      <c r="H142" s="67"/>
    </row>
    <row r="143" customFormat="false" ht="15.75" hidden="false" customHeight="true" outlineLevel="0" collapsed="false">
      <c r="A143" s="67"/>
      <c r="B143" s="67"/>
      <c r="D143" s="67"/>
      <c r="E143" s="67"/>
      <c r="F143" s="67"/>
      <c r="G143" s="67"/>
      <c r="H143" s="67"/>
    </row>
    <row r="144" customFormat="false" ht="15.75" hidden="false" customHeight="true" outlineLevel="0" collapsed="false">
      <c r="A144" s="67"/>
      <c r="B144" s="67"/>
      <c r="D144" s="67"/>
      <c r="E144" s="67"/>
      <c r="F144" s="67"/>
      <c r="G144" s="67"/>
      <c r="H144" s="67"/>
    </row>
    <row r="145" customFormat="false" ht="15.75" hidden="false" customHeight="true" outlineLevel="0" collapsed="false">
      <c r="A145" s="67"/>
      <c r="B145" s="67"/>
      <c r="D145" s="67"/>
      <c r="E145" s="67"/>
      <c r="F145" s="67"/>
      <c r="G145" s="67"/>
      <c r="H145" s="67"/>
    </row>
    <row r="146" customFormat="false" ht="15.75" hidden="false" customHeight="true" outlineLevel="0" collapsed="false">
      <c r="A146" s="67"/>
      <c r="B146" s="67"/>
      <c r="D146" s="67"/>
      <c r="E146" s="67"/>
      <c r="F146" s="67"/>
      <c r="G146" s="67"/>
      <c r="H146" s="67"/>
    </row>
    <row r="147" customFormat="false" ht="15.75" hidden="false" customHeight="true" outlineLevel="0" collapsed="false">
      <c r="A147" s="67"/>
      <c r="B147" s="67"/>
      <c r="D147" s="67"/>
      <c r="E147" s="67"/>
      <c r="F147" s="67"/>
      <c r="G147" s="67"/>
      <c r="H147" s="67"/>
    </row>
    <row r="148" customFormat="false" ht="15.75" hidden="false" customHeight="true" outlineLevel="0" collapsed="false">
      <c r="A148" s="67"/>
      <c r="B148" s="67"/>
      <c r="D148" s="67"/>
      <c r="E148" s="67"/>
      <c r="F148" s="67"/>
      <c r="G148" s="67"/>
      <c r="H148" s="67"/>
    </row>
    <row r="149" customFormat="false" ht="15.75" hidden="false" customHeight="true" outlineLevel="0" collapsed="false">
      <c r="A149" s="67"/>
      <c r="B149" s="67"/>
      <c r="D149" s="67"/>
      <c r="E149" s="67"/>
      <c r="F149" s="67"/>
      <c r="G149" s="67"/>
      <c r="H149" s="67"/>
    </row>
    <row r="150" customFormat="false" ht="15.75" hidden="false" customHeight="true" outlineLevel="0" collapsed="false">
      <c r="A150" s="67"/>
      <c r="B150" s="67"/>
      <c r="D150" s="67"/>
      <c r="E150" s="67"/>
      <c r="F150" s="67"/>
      <c r="G150" s="67"/>
      <c r="H150" s="67"/>
    </row>
    <row r="151" customFormat="false" ht="15.75" hidden="false" customHeight="true" outlineLevel="0" collapsed="false">
      <c r="A151" s="67"/>
      <c r="B151" s="67"/>
      <c r="D151" s="67"/>
      <c r="E151" s="67"/>
      <c r="F151" s="67"/>
      <c r="G151" s="67"/>
      <c r="H151" s="67"/>
    </row>
    <row r="152" customFormat="false" ht="15.75" hidden="false" customHeight="true" outlineLevel="0" collapsed="false">
      <c r="A152" s="67"/>
      <c r="B152" s="67"/>
      <c r="D152" s="67"/>
      <c r="E152" s="67"/>
      <c r="F152" s="67"/>
      <c r="G152" s="67"/>
      <c r="H152" s="67"/>
    </row>
    <row r="153" customFormat="false" ht="15.75" hidden="false" customHeight="true" outlineLevel="0" collapsed="false">
      <c r="A153" s="67"/>
      <c r="B153" s="67"/>
      <c r="D153" s="67"/>
      <c r="E153" s="67"/>
      <c r="F153" s="67"/>
      <c r="G153" s="67"/>
      <c r="H153" s="67"/>
    </row>
    <row r="154" customFormat="false" ht="15.75" hidden="false" customHeight="true" outlineLevel="0" collapsed="false">
      <c r="A154" s="67"/>
      <c r="B154" s="67"/>
      <c r="D154" s="67"/>
      <c r="E154" s="67"/>
      <c r="F154" s="67"/>
      <c r="G154" s="67"/>
      <c r="H154" s="67"/>
    </row>
    <row r="155" customFormat="false" ht="15.75" hidden="false" customHeight="true" outlineLevel="0" collapsed="false">
      <c r="A155" s="67"/>
      <c r="B155" s="67"/>
      <c r="D155" s="67"/>
      <c r="E155" s="67"/>
      <c r="F155" s="67"/>
      <c r="G155" s="67"/>
      <c r="H155" s="67"/>
    </row>
    <row r="156" customFormat="false" ht="15.75" hidden="false" customHeight="true" outlineLevel="0" collapsed="false">
      <c r="A156" s="67"/>
      <c r="B156" s="67"/>
      <c r="D156" s="67"/>
      <c r="E156" s="67"/>
      <c r="F156" s="67"/>
      <c r="G156" s="67"/>
      <c r="H156" s="67"/>
    </row>
    <row r="157" customFormat="false" ht="15.75" hidden="false" customHeight="true" outlineLevel="0" collapsed="false">
      <c r="A157" s="67"/>
      <c r="B157" s="67"/>
      <c r="D157" s="67"/>
      <c r="E157" s="67"/>
      <c r="F157" s="67"/>
      <c r="G157" s="67"/>
      <c r="H157" s="67"/>
    </row>
    <row r="158" customFormat="false" ht="15.75" hidden="false" customHeight="true" outlineLevel="0" collapsed="false">
      <c r="A158" s="67"/>
      <c r="B158" s="67"/>
      <c r="D158" s="67"/>
      <c r="E158" s="67"/>
      <c r="F158" s="67"/>
      <c r="G158" s="67"/>
      <c r="H158" s="67"/>
    </row>
    <row r="159" customFormat="false" ht="15.75" hidden="false" customHeight="true" outlineLevel="0" collapsed="false">
      <c r="A159" s="67"/>
      <c r="B159" s="67"/>
      <c r="D159" s="67"/>
      <c r="E159" s="67"/>
      <c r="F159" s="67"/>
      <c r="G159" s="67"/>
      <c r="H159" s="67"/>
    </row>
    <row r="160" customFormat="false" ht="15.75" hidden="false" customHeight="true" outlineLevel="0" collapsed="false">
      <c r="A160" s="67"/>
      <c r="B160" s="67"/>
      <c r="D160" s="67"/>
      <c r="E160" s="67"/>
      <c r="F160" s="67"/>
      <c r="G160" s="67"/>
      <c r="H160" s="67"/>
    </row>
    <row r="161" customFormat="false" ht="15.75" hidden="false" customHeight="true" outlineLevel="0" collapsed="false">
      <c r="A161" s="67"/>
      <c r="B161" s="67"/>
      <c r="D161" s="67"/>
      <c r="E161" s="67"/>
      <c r="F161" s="67"/>
      <c r="G161" s="67"/>
      <c r="H161" s="67"/>
    </row>
    <row r="162" customFormat="false" ht="15.75" hidden="false" customHeight="true" outlineLevel="0" collapsed="false">
      <c r="A162" s="67"/>
      <c r="B162" s="67"/>
      <c r="D162" s="67"/>
      <c r="E162" s="67"/>
      <c r="F162" s="67"/>
      <c r="G162" s="67"/>
      <c r="H162" s="67"/>
    </row>
    <row r="163" customFormat="false" ht="15.75" hidden="false" customHeight="true" outlineLevel="0" collapsed="false">
      <c r="A163" s="67"/>
      <c r="B163" s="67"/>
      <c r="D163" s="67"/>
      <c r="E163" s="67"/>
      <c r="F163" s="67"/>
      <c r="G163" s="67"/>
      <c r="H163" s="67"/>
    </row>
    <row r="164" customFormat="false" ht="15.75" hidden="false" customHeight="true" outlineLevel="0" collapsed="false">
      <c r="A164" s="67"/>
      <c r="B164" s="67"/>
      <c r="D164" s="67"/>
      <c r="E164" s="67"/>
      <c r="F164" s="67"/>
      <c r="G164" s="67"/>
      <c r="H164" s="67"/>
    </row>
    <row r="165" customFormat="false" ht="15.75" hidden="false" customHeight="true" outlineLevel="0" collapsed="false">
      <c r="A165" s="67"/>
      <c r="B165" s="67"/>
      <c r="D165" s="67"/>
      <c r="E165" s="67"/>
      <c r="F165" s="67"/>
      <c r="G165" s="67"/>
      <c r="H165" s="67"/>
    </row>
    <row r="166" customFormat="false" ht="15.75" hidden="false" customHeight="true" outlineLevel="0" collapsed="false">
      <c r="A166" s="67"/>
      <c r="B166" s="67"/>
      <c r="D166" s="67"/>
      <c r="E166" s="67"/>
      <c r="F166" s="67"/>
      <c r="G166" s="67"/>
      <c r="H166" s="67"/>
    </row>
    <row r="167" customFormat="false" ht="15.75" hidden="false" customHeight="true" outlineLevel="0" collapsed="false">
      <c r="A167" s="67"/>
      <c r="B167" s="67"/>
      <c r="D167" s="67"/>
      <c r="E167" s="67"/>
      <c r="F167" s="67"/>
      <c r="G167" s="67"/>
      <c r="H167" s="67"/>
    </row>
    <row r="168" customFormat="false" ht="15.75" hidden="false" customHeight="true" outlineLevel="0" collapsed="false">
      <c r="A168" s="67"/>
      <c r="B168" s="67"/>
      <c r="D168" s="67"/>
      <c r="E168" s="67"/>
      <c r="F168" s="67"/>
      <c r="G168" s="67"/>
      <c r="H168" s="67"/>
    </row>
    <row r="169" customFormat="false" ht="15.75" hidden="false" customHeight="true" outlineLevel="0" collapsed="false">
      <c r="A169" s="67"/>
      <c r="B169" s="67"/>
      <c r="D169" s="67"/>
      <c r="E169" s="67"/>
      <c r="F169" s="67"/>
      <c r="G169" s="67"/>
      <c r="H169" s="67"/>
    </row>
    <row r="170" customFormat="false" ht="15.75" hidden="false" customHeight="true" outlineLevel="0" collapsed="false">
      <c r="A170" s="67"/>
      <c r="B170" s="67"/>
      <c r="D170" s="67"/>
      <c r="E170" s="67"/>
      <c r="F170" s="67"/>
      <c r="G170" s="67"/>
      <c r="H170" s="67"/>
    </row>
    <row r="171" customFormat="false" ht="15.75" hidden="false" customHeight="true" outlineLevel="0" collapsed="false">
      <c r="A171" s="67"/>
      <c r="B171" s="67"/>
      <c r="D171" s="67"/>
      <c r="E171" s="67"/>
      <c r="F171" s="67"/>
      <c r="G171" s="67"/>
      <c r="H171" s="67"/>
    </row>
    <row r="172" customFormat="false" ht="15.75" hidden="false" customHeight="true" outlineLevel="0" collapsed="false">
      <c r="A172" s="67"/>
      <c r="B172" s="67"/>
      <c r="D172" s="67"/>
      <c r="E172" s="67"/>
      <c r="F172" s="67"/>
      <c r="G172" s="67"/>
      <c r="H172" s="67"/>
    </row>
    <row r="173" customFormat="false" ht="15.75" hidden="false" customHeight="true" outlineLevel="0" collapsed="false">
      <c r="A173" s="67"/>
      <c r="B173" s="67"/>
      <c r="D173" s="67"/>
      <c r="E173" s="67"/>
      <c r="F173" s="67"/>
      <c r="G173" s="67"/>
      <c r="H173" s="67"/>
    </row>
    <row r="174" customFormat="false" ht="15.75" hidden="false" customHeight="true" outlineLevel="0" collapsed="false">
      <c r="A174" s="67"/>
      <c r="B174" s="67"/>
      <c r="D174" s="67"/>
      <c r="E174" s="67"/>
      <c r="F174" s="67"/>
      <c r="G174" s="67"/>
      <c r="H174" s="67"/>
    </row>
    <row r="175" customFormat="false" ht="15.75" hidden="false" customHeight="true" outlineLevel="0" collapsed="false">
      <c r="A175" s="67"/>
      <c r="B175" s="67"/>
      <c r="D175" s="67"/>
      <c r="E175" s="67"/>
      <c r="F175" s="67"/>
      <c r="G175" s="67"/>
      <c r="H175" s="67"/>
    </row>
    <row r="176" customFormat="false" ht="15.75" hidden="false" customHeight="true" outlineLevel="0" collapsed="false">
      <c r="A176" s="67"/>
      <c r="B176" s="67"/>
      <c r="D176" s="67"/>
      <c r="E176" s="67"/>
      <c r="F176" s="67"/>
      <c r="G176" s="67"/>
      <c r="H176" s="67"/>
    </row>
    <row r="177" customFormat="false" ht="15.75" hidden="false" customHeight="true" outlineLevel="0" collapsed="false">
      <c r="A177" s="67"/>
      <c r="B177" s="67"/>
      <c r="D177" s="67"/>
      <c r="E177" s="67"/>
      <c r="F177" s="67"/>
      <c r="G177" s="67"/>
      <c r="H177" s="67"/>
    </row>
    <row r="178" customFormat="false" ht="15.75" hidden="false" customHeight="true" outlineLevel="0" collapsed="false">
      <c r="A178" s="67"/>
      <c r="B178" s="67"/>
      <c r="D178" s="67"/>
      <c r="E178" s="67"/>
      <c r="F178" s="67"/>
      <c r="G178" s="67"/>
      <c r="H178" s="67"/>
    </row>
    <row r="179" customFormat="false" ht="15.75" hidden="false" customHeight="true" outlineLevel="0" collapsed="false">
      <c r="A179" s="67"/>
      <c r="B179" s="67"/>
      <c r="D179" s="67"/>
      <c r="E179" s="67"/>
      <c r="F179" s="67"/>
      <c r="G179" s="67"/>
      <c r="H179" s="67"/>
    </row>
    <row r="180" customFormat="false" ht="15.75" hidden="false" customHeight="true" outlineLevel="0" collapsed="false">
      <c r="A180" s="67"/>
      <c r="B180" s="67"/>
      <c r="D180" s="67"/>
      <c r="E180" s="67"/>
      <c r="F180" s="67"/>
      <c r="G180" s="67"/>
      <c r="H180" s="67"/>
    </row>
    <row r="181" customFormat="false" ht="15.75" hidden="false" customHeight="true" outlineLevel="0" collapsed="false">
      <c r="A181" s="67"/>
      <c r="B181" s="67"/>
      <c r="D181" s="67"/>
      <c r="E181" s="67"/>
      <c r="F181" s="67"/>
      <c r="G181" s="67"/>
      <c r="H181" s="67"/>
    </row>
    <row r="182" customFormat="false" ht="15.75" hidden="false" customHeight="true" outlineLevel="0" collapsed="false">
      <c r="A182" s="67"/>
      <c r="B182" s="67"/>
      <c r="D182" s="67"/>
      <c r="E182" s="67"/>
      <c r="F182" s="67"/>
      <c r="G182" s="67"/>
      <c r="H182" s="67"/>
    </row>
    <row r="183" customFormat="false" ht="15.75" hidden="false" customHeight="true" outlineLevel="0" collapsed="false">
      <c r="A183" s="67"/>
      <c r="B183" s="67"/>
      <c r="D183" s="67"/>
      <c r="E183" s="67"/>
      <c r="F183" s="67"/>
      <c r="G183" s="67"/>
      <c r="H183" s="67"/>
    </row>
    <row r="184" customFormat="false" ht="15.75" hidden="false" customHeight="true" outlineLevel="0" collapsed="false">
      <c r="A184" s="67"/>
      <c r="B184" s="67"/>
      <c r="D184" s="67"/>
      <c r="E184" s="67"/>
      <c r="F184" s="67"/>
      <c r="G184" s="67"/>
      <c r="H184" s="67"/>
    </row>
    <row r="185" customFormat="false" ht="15.75" hidden="false" customHeight="true" outlineLevel="0" collapsed="false">
      <c r="A185" s="67"/>
      <c r="B185" s="67"/>
      <c r="D185" s="67"/>
      <c r="E185" s="67"/>
      <c r="F185" s="67"/>
      <c r="G185" s="67"/>
      <c r="H185" s="67"/>
    </row>
    <row r="186" customFormat="false" ht="15.75" hidden="false" customHeight="true" outlineLevel="0" collapsed="false">
      <c r="A186" s="67"/>
      <c r="B186" s="67"/>
      <c r="D186" s="67"/>
      <c r="E186" s="67"/>
      <c r="F186" s="67"/>
      <c r="G186" s="67"/>
      <c r="H186" s="67"/>
    </row>
    <row r="187" customFormat="false" ht="15.75" hidden="false" customHeight="true" outlineLevel="0" collapsed="false">
      <c r="A187" s="67"/>
      <c r="B187" s="67"/>
      <c r="D187" s="67"/>
      <c r="E187" s="67"/>
      <c r="F187" s="67"/>
      <c r="G187" s="67"/>
      <c r="H187" s="67"/>
    </row>
    <row r="188" customFormat="false" ht="15.75" hidden="false" customHeight="true" outlineLevel="0" collapsed="false">
      <c r="A188" s="67"/>
      <c r="B188" s="67"/>
      <c r="D188" s="67"/>
      <c r="E188" s="67"/>
      <c r="F188" s="67"/>
      <c r="G188" s="67"/>
      <c r="H188" s="67"/>
    </row>
    <row r="189" customFormat="false" ht="15.75" hidden="false" customHeight="true" outlineLevel="0" collapsed="false">
      <c r="A189" s="67"/>
      <c r="B189" s="67"/>
      <c r="D189" s="67"/>
      <c r="E189" s="67"/>
      <c r="F189" s="67"/>
      <c r="G189" s="67"/>
      <c r="H189" s="67"/>
    </row>
    <row r="190" customFormat="false" ht="15.75" hidden="false" customHeight="true" outlineLevel="0" collapsed="false">
      <c r="A190" s="67"/>
      <c r="B190" s="67"/>
      <c r="D190" s="67"/>
      <c r="E190" s="67"/>
      <c r="F190" s="67"/>
      <c r="G190" s="67"/>
      <c r="H190" s="67"/>
    </row>
    <row r="191" customFormat="false" ht="15.75" hidden="false" customHeight="true" outlineLevel="0" collapsed="false">
      <c r="A191" s="67"/>
      <c r="B191" s="67"/>
      <c r="D191" s="67"/>
      <c r="E191" s="67"/>
      <c r="F191" s="67"/>
      <c r="G191" s="67"/>
      <c r="H191" s="67"/>
    </row>
    <row r="192" customFormat="false" ht="15.75" hidden="false" customHeight="true" outlineLevel="0" collapsed="false">
      <c r="A192" s="67"/>
      <c r="B192" s="67"/>
      <c r="D192" s="67"/>
      <c r="E192" s="67"/>
      <c r="F192" s="67"/>
      <c r="G192" s="67"/>
      <c r="H192" s="67"/>
    </row>
    <row r="193" customFormat="false" ht="15.75" hidden="false" customHeight="true" outlineLevel="0" collapsed="false">
      <c r="A193" s="67"/>
      <c r="B193" s="67"/>
      <c r="D193" s="67"/>
      <c r="E193" s="67"/>
      <c r="F193" s="67"/>
      <c r="G193" s="67"/>
      <c r="H193" s="67"/>
    </row>
    <row r="194" customFormat="false" ht="15.75" hidden="false" customHeight="true" outlineLevel="0" collapsed="false">
      <c r="A194" s="67"/>
      <c r="B194" s="67"/>
      <c r="D194" s="67"/>
      <c r="E194" s="67"/>
      <c r="F194" s="67"/>
      <c r="G194" s="67"/>
      <c r="H194" s="67"/>
    </row>
    <row r="195" customFormat="false" ht="15.75" hidden="false" customHeight="true" outlineLevel="0" collapsed="false">
      <c r="A195" s="67"/>
      <c r="B195" s="67"/>
      <c r="D195" s="67"/>
      <c r="E195" s="67"/>
      <c r="F195" s="67"/>
      <c r="G195" s="67"/>
      <c r="H195" s="67"/>
    </row>
    <row r="196" customFormat="false" ht="15.75" hidden="false" customHeight="true" outlineLevel="0" collapsed="false">
      <c r="A196" s="67"/>
      <c r="B196" s="67"/>
      <c r="D196" s="67"/>
      <c r="E196" s="67"/>
      <c r="F196" s="67"/>
      <c r="G196" s="67"/>
      <c r="H196" s="67"/>
    </row>
    <row r="197" customFormat="false" ht="15.75" hidden="false" customHeight="true" outlineLevel="0" collapsed="false">
      <c r="A197" s="67"/>
      <c r="B197" s="67"/>
      <c r="D197" s="67"/>
      <c r="E197" s="67"/>
      <c r="F197" s="67"/>
      <c r="G197" s="67"/>
      <c r="H197" s="67"/>
    </row>
    <row r="198" customFormat="false" ht="15.75" hidden="false" customHeight="true" outlineLevel="0" collapsed="false">
      <c r="A198" s="67"/>
      <c r="B198" s="67"/>
      <c r="D198" s="67"/>
      <c r="E198" s="67"/>
      <c r="F198" s="67"/>
      <c r="G198" s="67"/>
      <c r="H198" s="67"/>
    </row>
    <row r="199" customFormat="false" ht="15.75" hidden="false" customHeight="true" outlineLevel="0" collapsed="false">
      <c r="A199" s="67"/>
      <c r="B199" s="67"/>
      <c r="D199" s="67"/>
      <c r="E199" s="67"/>
      <c r="F199" s="67"/>
      <c r="G199" s="67"/>
      <c r="H199" s="67"/>
    </row>
    <row r="200" customFormat="false" ht="15.75" hidden="false" customHeight="true" outlineLevel="0" collapsed="false">
      <c r="A200" s="67"/>
      <c r="B200" s="67"/>
      <c r="D200" s="67"/>
      <c r="E200" s="67"/>
      <c r="F200" s="67"/>
      <c r="G200" s="67"/>
      <c r="H200" s="67"/>
    </row>
    <row r="201" customFormat="false" ht="15.75" hidden="false" customHeight="true" outlineLevel="0" collapsed="false">
      <c r="A201" s="67"/>
      <c r="B201" s="67"/>
      <c r="D201" s="67"/>
      <c r="E201" s="67"/>
      <c r="F201" s="67"/>
      <c r="G201" s="67"/>
      <c r="H201" s="67"/>
    </row>
    <row r="202" customFormat="false" ht="15.75" hidden="false" customHeight="true" outlineLevel="0" collapsed="false">
      <c r="A202" s="67"/>
      <c r="B202" s="67"/>
      <c r="D202" s="67"/>
      <c r="E202" s="67"/>
      <c r="F202" s="67"/>
      <c r="G202" s="67"/>
      <c r="H202" s="67"/>
    </row>
    <row r="203" customFormat="false" ht="15.75" hidden="false" customHeight="true" outlineLevel="0" collapsed="false">
      <c r="A203" s="67"/>
      <c r="B203" s="67"/>
      <c r="D203" s="67"/>
      <c r="E203" s="67"/>
      <c r="F203" s="67"/>
      <c r="G203" s="67"/>
      <c r="H203" s="67"/>
    </row>
    <row r="204" customFormat="false" ht="15.75" hidden="false" customHeight="true" outlineLevel="0" collapsed="false">
      <c r="A204" s="67"/>
      <c r="B204" s="67"/>
      <c r="D204" s="67"/>
      <c r="E204" s="67"/>
      <c r="F204" s="67"/>
      <c r="G204" s="67"/>
      <c r="H204" s="67"/>
    </row>
    <row r="205" customFormat="false" ht="15.75" hidden="false" customHeight="true" outlineLevel="0" collapsed="false">
      <c r="A205" s="67"/>
      <c r="B205" s="67"/>
      <c r="D205" s="67"/>
      <c r="E205" s="67"/>
      <c r="F205" s="67"/>
      <c r="G205" s="67"/>
      <c r="H205" s="67"/>
    </row>
    <row r="206" customFormat="false" ht="15.75" hidden="false" customHeight="true" outlineLevel="0" collapsed="false">
      <c r="A206" s="67"/>
      <c r="B206" s="67"/>
      <c r="D206" s="67"/>
      <c r="E206" s="67"/>
      <c r="F206" s="67"/>
      <c r="G206" s="67"/>
      <c r="H206" s="67"/>
    </row>
    <row r="207" customFormat="false" ht="15.75" hidden="false" customHeight="true" outlineLevel="0" collapsed="false">
      <c r="A207" s="67"/>
      <c r="B207" s="67"/>
      <c r="D207" s="67"/>
      <c r="E207" s="67"/>
      <c r="F207" s="67"/>
      <c r="G207" s="67"/>
      <c r="H207" s="67"/>
    </row>
    <row r="208" customFormat="false" ht="15.75" hidden="false" customHeight="true" outlineLevel="0" collapsed="false">
      <c r="A208" s="67"/>
      <c r="B208" s="67"/>
      <c r="D208" s="67"/>
      <c r="E208" s="67"/>
      <c r="F208" s="67"/>
      <c r="G208" s="67"/>
      <c r="H208" s="67"/>
    </row>
    <row r="209" customFormat="false" ht="15.75" hidden="false" customHeight="true" outlineLevel="0" collapsed="false">
      <c r="A209" s="67"/>
      <c r="B209" s="67"/>
      <c r="D209" s="67"/>
      <c r="E209" s="67"/>
      <c r="F209" s="67"/>
      <c r="G209" s="67"/>
      <c r="H209" s="67"/>
    </row>
    <row r="210" customFormat="false" ht="15.75" hidden="false" customHeight="true" outlineLevel="0" collapsed="false">
      <c r="A210" s="67"/>
      <c r="B210" s="67"/>
      <c r="D210" s="67"/>
      <c r="E210" s="67"/>
      <c r="F210" s="67"/>
      <c r="G210" s="67"/>
      <c r="H210" s="67"/>
    </row>
    <row r="211" customFormat="false" ht="15.75" hidden="false" customHeight="true" outlineLevel="0" collapsed="false">
      <c r="A211" s="67"/>
      <c r="B211" s="67"/>
      <c r="D211" s="67"/>
      <c r="E211" s="67"/>
      <c r="F211" s="67"/>
      <c r="G211" s="67"/>
      <c r="H211" s="67"/>
    </row>
    <row r="212" customFormat="false" ht="15.75" hidden="false" customHeight="true" outlineLevel="0" collapsed="false">
      <c r="A212" s="67"/>
      <c r="B212" s="67"/>
      <c r="D212" s="67"/>
      <c r="E212" s="67"/>
      <c r="F212" s="67"/>
      <c r="G212" s="67"/>
      <c r="H212" s="67"/>
    </row>
    <row r="213" customFormat="false" ht="15.75" hidden="false" customHeight="true" outlineLevel="0" collapsed="false">
      <c r="A213" s="67"/>
      <c r="B213" s="67"/>
      <c r="D213" s="67"/>
      <c r="E213" s="67"/>
      <c r="F213" s="67"/>
      <c r="G213" s="67"/>
      <c r="H213" s="67"/>
    </row>
    <row r="214" customFormat="false" ht="15.75" hidden="false" customHeight="true" outlineLevel="0" collapsed="false">
      <c r="A214" s="67"/>
      <c r="B214" s="67"/>
      <c r="D214" s="67"/>
      <c r="E214" s="67"/>
      <c r="F214" s="67"/>
      <c r="G214" s="67"/>
      <c r="H214" s="67"/>
    </row>
    <row r="215" customFormat="false" ht="15.75" hidden="false" customHeight="true" outlineLevel="0" collapsed="false">
      <c r="A215" s="67"/>
      <c r="B215" s="67"/>
      <c r="D215" s="67"/>
      <c r="E215" s="67"/>
      <c r="F215" s="67"/>
      <c r="G215" s="67"/>
      <c r="H215" s="67"/>
    </row>
    <row r="216" customFormat="false" ht="15.75" hidden="false" customHeight="true" outlineLevel="0" collapsed="false">
      <c r="A216" s="67"/>
      <c r="B216" s="67"/>
      <c r="D216" s="67"/>
      <c r="E216" s="67"/>
      <c r="F216" s="67"/>
      <c r="G216" s="67"/>
      <c r="H216" s="67"/>
    </row>
    <row r="217" customFormat="false" ht="15.75" hidden="false" customHeight="true" outlineLevel="0" collapsed="false">
      <c r="A217" s="67"/>
      <c r="B217" s="67"/>
      <c r="D217" s="67"/>
      <c r="E217" s="67"/>
      <c r="F217" s="67"/>
      <c r="G217" s="67"/>
      <c r="H217" s="67"/>
    </row>
    <row r="218" customFormat="false" ht="15.75" hidden="false" customHeight="true" outlineLevel="0" collapsed="false">
      <c r="A218" s="67"/>
      <c r="B218" s="67"/>
      <c r="D218" s="67"/>
      <c r="E218" s="67"/>
      <c r="F218" s="67"/>
      <c r="G218" s="67"/>
      <c r="H218" s="67"/>
    </row>
    <row r="219" customFormat="false" ht="15.75" hidden="false" customHeight="true" outlineLevel="0" collapsed="false">
      <c r="A219" s="67"/>
      <c r="B219" s="67"/>
      <c r="D219" s="67"/>
      <c r="E219" s="67"/>
      <c r="F219" s="67"/>
      <c r="G219" s="67"/>
      <c r="H219" s="67"/>
    </row>
  </sheetData>
  <autoFilter ref="A1:H26"/>
  <dataValidations count="1">
    <dataValidation allowBlank="true" errorStyle="stop" operator="between" showDropDown="false" showErrorMessage="true" showInputMessage="false" sqref="A2:A28" type="list">
      <formula1>"Boise,Bozeman,Denver,National,Portland,Seattle,Taos,Vancouver,Salt Lake City"</formula1>
      <formula2>0</formula2>
    </dataValidation>
  </dataValidations>
  <hyperlinks>
    <hyperlink ref="B15" r:id="rId1" display="Jetpackjohnson.com"/>
    <hyperlink ref="B16" r:id="rId2" display="coleeisenhour.com"/>
    <hyperlink ref="B21" r:id="rId3" display="Totally Boise newletter/mag&#10;totallyboise.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tableParts>
    <tablePart r:id="rId5"/>
    <tablePart r:id="rId6"/>
  </tableParts>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2026-03-09T21:29:32Z</dcterms:created>
  <dc:creator>openpyxl</dc:creator>
  <dc:description/>
  <dc:language>en-US</dc:language>
  <cp:lastModifiedBy/>
  <dcterms:modified xsi:type="dcterms:W3CDTF">2026-03-09T21:30:41Z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